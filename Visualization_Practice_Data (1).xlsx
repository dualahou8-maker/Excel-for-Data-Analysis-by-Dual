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76dd475a17ad34/Desktop/Godric/"/>
    </mc:Choice>
  </mc:AlternateContent>
  <xr:revisionPtr revIDLastSave="2" documentId="8_{2459C530-B87A-4D14-BDD7-6C8B5C3EFC9D}" xr6:coauthVersionLast="47" xr6:coauthVersionMax="47" xr10:uidLastSave="{A157B2DE-A5E2-4063-9906-21A2C301D8D1}"/>
  <bookViews>
    <workbookView xWindow="-120" yWindow="-120" windowWidth="20730" windowHeight="11040" activeTab="2" xr2:uid="{00000000-000D-0000-FFFF-FFFF00000000}"/>
  </bookViews>
  <sheets>
    <sheet name="Original" sheetId="1" r:id="rId1"/>
    <sheet name="working sheep" sheetId="3" r:id="rId2"/>
    <sheet name="Pivot table" sheetId="5" r:id="rId3"/>
  </sheets>
  <calcPr calcId="181029"/>
  <pivotCaches>
    <pivotCache cacheId="2" r:id="rId4"/>
    <pivotCache cacheId="1" r:id="rId5"/>
  </pivotCaches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</calcChain>
</file>

<file path=xl/sharedStrings.xml><?xml version="1.0" encoding="utf-8"?>
<sst xmlns="http://schemas.openxmlformats.org/spreadsheetml/2006/main" count="3205" uniqueCount="676">
  <si>
    <t>Order ID</t>
  </si>
  <si>
    <t>Order Date</t>
  </si>
  <si>
    <t>Region</t>
  </si>
  <si>
    <t>Category</t>
  </si>
  <si>
    <t>Product</t>
  </si>
  <si>
    <t>Quantity</t>
  </si>
  <si>
    <t>Sales</t>
  </si>
  <si>
    <t>Profit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</si>
  <si>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</si>
  <si>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</si>
  <si>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</si>
  <si>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</si>
  <si>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</si>
  <si>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</si>
  <si>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</si>
  <si>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</si>
  <si>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</si>
  <si>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</si>
  <si>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</si>
  <si>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</si>
  <si>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</si>
  <si>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</si>
  <si>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</si>
  <si>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</si>
  <si>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</si>
  <si>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</si>
  <si>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</si>
  <si>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</si>
  <si>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</si>
  <si>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</si>
  <si>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</si>
  <si>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</si>
  <si>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</si>
  <si>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</si>
  <si>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</si>
  <si>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</si>
  <si>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</si>
  <si>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</si>
  <si>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</si>
  <si>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</si>
  <si>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</si>
  <si>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</si>
  <si>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</si>
  <si>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</si>
  <si>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</si>
  <si>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</si>
  <si>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</si>
  <si>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</si>
  <si>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</si>
  <si>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</si>
  <si>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</si>
  <si>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</si>
  <si>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</si>
  <si>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</si>
  <si>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</si>
  <si>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</si>
  <si>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</si>
  <si>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</si>
  <si>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</si>
  <si>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</si>
  <si>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</si>
  <si>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</si>
  <si>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</si>
  <si>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</si>
  <si>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</si>
  <si>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</si>
  <si>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</si>
  <si>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</si>
  <si>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</si>
  <si>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</si>
  <si>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</si>
  <si>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</si>
  <si>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</si>
  <si>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</si>
  <si>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</si>
  <si>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</si>
  <si>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</si>
  <si>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</si>
  <si>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</si>
  <si>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</si>
  <si>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</si>
  <si>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</si>
  <si>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</si>
  <si>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</si>
  <si>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</si>
  <si>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</si>
  <si>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</si>
  <si>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</si>
  <si>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</si>
  <si>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</si>
  <si>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</si>
  <si>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</si>
  <si>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</si>
  <si>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</si>
  <si>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</si>
  <si>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</si>
  <si>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</si>
  <si>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</si>
  <si>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</si>
  <si>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</si>
  <si>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</si>
  <si>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</si>
  <si>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</si>
  <si>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</si>
  <si>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</si>
  <si>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</si>
  <si>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</si>
  <si>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</si>
  <si>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</si>
  <si>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</si>
  <si>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</si>
  <si>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</si>
  <si>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</si>
  <si>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</si>
  <si>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</si>
  <si>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</si>
  <si>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</si>
  <si>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</si>
  <si>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</si>
  <si>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</si>
  <si>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</si>
  <si>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</si>
  <si>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</si>
  <si>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</si>
  <si>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</si>
  <si>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</si>
  <si>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</si>
  <si>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</si>
  <si>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</si>
  <si>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</si>
  <si>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</si>
  <si>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</si>
  <si>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</si>
  <si>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</si>
  <si>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</si>
  <si>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</si>
  <si>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</si>
  <si>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</si>
  <si>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</si>
  <si>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</si>
  <si>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</si>
  <si>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</si>
  <si>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</si>
  <si>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</si>
  <si>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</si>
  <si>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</si>
  <si>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</si>
  <si>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</si>
  <si>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</si>
  <si>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</si>
  <si>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</si>
  <si>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</si>
  <si>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</si>
  <si>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</si>
  <si>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</si>
  <si>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</si>
  <si>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</si>
  <si>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</si>
  <si>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</si>
  <si>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</si>
  <si>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</si>
  <si>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</si>
  <si>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</si>
  <si>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</si>
  <si>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</si>
  <si>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</si>
  <si>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</si>
  <si>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</si>
  <si>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</si>
  <si>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</si>
  <si>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</si>
  <si>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</si>
  <si>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</si>
  <si>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</si>
  <si>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</si>
  <si>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</si>
  <si>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</si>
  <si>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</si>
  <si>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</si>
  <si>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</si>
  <si>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</si>
  <si>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</si>
  <si>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</si>
  <si>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</si>
  <si>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</si>
  <si>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</si>
  <si>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</si>
  <si>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</si>
  <si>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</si>
  <si>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</si>
  <si>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</si>
  <si>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</si>
  <si>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</si>
  <si>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</si>
  <si>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</si>
  <si>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</si>
  <si>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</si>
  <si>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</si>
  <si>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</si>
  <si>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</si>
  <si>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</si>
  <si>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</si>
  <si>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</si>
  <si>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</si>
  <si>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</si>
  <si>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</si>
  <si>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</si>
  <si>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</si>
  <si>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</si>
  <si>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</si>
  <si>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</si>
  <si>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</si>
  <si>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</si>
  <si>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</si>
  <si>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</si>
  <si>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</si>
  <si>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</si>
  <si>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</si>
  <si>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</si>
  <si>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</si>
  <si>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</si>
  <si>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</si>
  <si>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</si>
  <si>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</si>
  <si>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</si>
  <si>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</si>
  <si>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</si>
  <si>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</si>
  <si>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</si>
  <si>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</si>
  <si>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</si>
  <si>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</si>
  <si>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</si>
  <si>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</si>
  <si>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</si>
  <si>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</si>
  <si>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</si>
  <si>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</si>
  <si>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</si>
  <si>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</si>
  <si>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</si>
  <si>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</si>
  <si>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</si>
  <si>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</si>
  <si>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</si>
  <si>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</si>
  <si>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</si>
  <si>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</si>
  <si>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</si>
  <si>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</si>
  <si>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</si>
  <si>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</si>
  <si>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</si>
  <si>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</si>
  <si>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</si>
  <si>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</si>
  <si>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</si>
  <si>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</si>
  <si>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</si>
  <si>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</si>
  <si>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</si>
  <si>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</si>
  <si>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</si>
  <si>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</si>
  <si>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</si>
  <si>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</si>
  <si>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</si>
  <si>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</si>
  <si>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</si>
  <si>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</si>
  <si>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</si>
  <si>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</si>
  <si>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</si>
  <si>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</si>
  <si>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</si>
  <si>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</si>
  <si>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</si>
  <si>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</si>
  <si>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</si>
  <si>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</si>
  <si>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</si>
  <si>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</si>
  <si>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</si>
  <si>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</si>
  <si>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</si>
  <si>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</si>
  <si>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</si>
  <si>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</si>
  <si>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</si>
  <si>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</si>
  <si>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</si>
  <si>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</si>
  <si>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</si>
  <si>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</si>
  <si>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</si>
  <si>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</si>
  <si>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</si>
  <si>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</si>
  <si>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</si>
  <si>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</si>
  <si>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</si>
  <si>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</si>
  <si>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</si>
  <si>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</si>
  <si>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</si>
  <si>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</si>
  <si>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</si>
  <si>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</si>
  <si>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</si>
  <si>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</si>
  <si>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</si>
  <si>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</si>
  <si>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</si>
  <si>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</si>
  <si>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</si>
  <si>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</si>
  <si>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</si>
  <si>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</si>
  <si>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</si>
  <si>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</si>
  <si>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</si>
  <si>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</si>
  <si>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</si>
  <si>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</si>
  <si>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</si>
  <si>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</si>
  <si>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</si>
  <si>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</si>
  <si>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</si>
  <si>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</si>
  <si>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</si>
  <si>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</si>
  <si>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</si>
  <si>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</si>
  <si>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</si>
  <si>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</si>
  <si>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</si>
  <si>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</si>
  <si>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</si>
  <si>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</si>
  <si>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</si>
  <si>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</si>
  <si>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</si>
  <si>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</si>
  <si>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</si>
  <si>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</si>
  <si>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</si>
  <si>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</si>
  <si>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</si>
  <si>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</si>
  <si>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</si>
  <si>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</si>
  <si>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</si>
  <si>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</si>
  <si>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</si>
  <si>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</si>
  <si>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</si>
  <si>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</si>
  <si>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04/15/2023</t>
  </si>
  <si>
    <t>11/03/2022</t>
  </si>
  <si>
    <t>04/26/2022</t>
  </si>
  <si>
    <t>11/11/2022</t>
  </si>
  <si>
    <t>05/21/2023</t>
  </si>
  <si>
    <t>12/13/2023</t>
  </si>
  <si>
    <t>12/19/2023</t>
  </si>
  <si>
    <t>05/17/2022</t>
  </si>
  <si>
    <t>03/01/2023</t>
  </si>
  <si>
    <t>01/15/2023</t>
  </si>
  <si>
    <t>01/28/2022</t>
  </si>
  <si>
    <t>11/30/2023</t>
  </si>
  <si>
    <t>06/07/2022</t>
  </si>
  <si>
    <t>04/28/2023</t>
  </si>
  <si>
    <t>08/12/2023</t>
  </si>
  <si>
    <t>02/17/2022</t>
  </si>
  <si>
    <t>10/07/2023</t>
  </si>
  <si>
    <t>12/08/2023</t>
  </si>
  <si>
    <t>12/07/2023</t>
  </si>
  <si>
    <t>04/14/2023</t>
  </si>
  <si>
    <t>12/02/2023</t>
  </si>
  <si>
    <t>07/06/2022</t>
  </si>
  <si>
    <t>10/24/2022</t>
  </si>
  <si>
    <t>06/29/2022</t>
  </si>
  <si>
    <t>01/31/2022</t>
  </si>
  <si>
    <t>07/20/2023</t>
  </si>
  <si>
    <t>01/06/2022</t>
  </si>
  <si>
    <t>04/14/2022</t>
  </si>
  <si>
    <t>02/06/2022</t>
  </si>
  <si>
    <t>10/22/2022</t>
  </si>
  <si>
    <t>07/02/2023</t>
  </si>
  <si>
    <t>12/23/2023</t>
  </si>
  <si>
    <t>10/25/2022</t>
  </si>
  <si>
    <t>08/29/2022</t>
  </si>
  <si>
    <t>01/02/2022</t>
  </si>
  <si>
    <t>09/12/2022</t>
  </si>
  <si>
    <t>12/18/2022</t>
  </si>
  <si>
    <t>01/20/2022</t>
  </si>
  <si>
    <t>05/06/2022</t>
  </si>
  <si>
    <t>11/15/2022</t>
  </si>
  <si>
    <t>07/26/2022</t>
  </si>
  <si>
    <t>02/24/2023</t>
  </si>
  <si>
    <t>06/09/2023</t>
  </si>
  <si>
    <t>07/02/2022</t>
  </si>
  <si>
    <t>12/18/2023</t>
  </si>
  <si>
    <t>07/12/2022</t>
  </si>
  <si>
    <t>03/31/2023</t>
  </si>
  <si>
    <t>08/07/2023</t>
  </si>
  <si>
    <t>04/30/2022</t>
  </si>
  <si>
    <t>09/27/2023</t>
  </si>
  <si>
    <t>04/27/2023</t>
  </si>
  <si>
    <t>01/26/2022</t>
  </si>
  <si>
    <t>06/19/2022</t>
  </si>
  <si>
    <t>04/21/2023</t>
  </si>
  <si>
    <t>06/02/2022</t>
  </si>
  <si>
    <t>05/12/2023</t>
  </si>
  <si>
    <t>10/30/2022</t>
  </si>
  <si>
    <t>01/23/2023</t>
  </si>
  <si>
    <t>06/11/2023</t>
  </si>
  <si>
    <t>11/05/2023</t>
  </si>
  <si>
    <t>08/29/2023</t>
  </si>
  <si>
    <t>12/25/2023</t>
  </si>
  <si>
    <t>02/01/2022</t>
  </si>
  <si>
    <t>06/05/2023</t>
  </si>
  <si>
    <t>11/05/2022</t>
  </si>
  <si>
    <t>12/16/2022</t>
  </si>
  <si>
    <t>11/14/2023</t>
  </si>
  <si>
    <t>07/27/2022</t>
  </si>
  <si>
    <t>01/29/2023</t>
  </si>
  <si>
    <t>11/02/2022</t>
  </si>
  <si>
    <t>03/04/2022</t>
  </si>
  <si>
    <t>01/30/2022</t>
  </si>
  <si>
    <t>09/18/2023</t>
  </si>
  <si>
    <t>05/07/2022</t>
  </si>
  <si>
    <t>08/24/2022</t>
  </si>
  <si>
    <t>09/21/2022</t>
  </si>
  <si>
    <t>12/31/2023</t>
  </si>
  <si>
    <t>05/01/2022</t>
  </si>
  <si>
    <t>01/25/2023</t>
  </si>
  <si>
    <t>06/28/2022</t>
  </si>
  <si>
    <t>08/31/2022</t>
  </si>
  <si>
    <t>10/22/2023</t>
  </si>
  <si>
    <t>02/13/2022</t>
  </si>
  <si>
    <t>01/07/2023</t>
  </si>
  <si>
    <t>03/04/2023</t>
  </si>
  <si>
    <t>03/14/2023</t>
  </si>
  <si>
    <t>10/13/2023</t>
  </si>
  <si>
    <t>02/03/2023</t>
  </si>
  <si>
    <t>11/13/2023</t>
  </si>
  <si>
    <t>04/09/2023</t>
  </si>
  <si>
    <t>04/27/2022</t>
  </si>
  <si>
    <t>10/14/2023</t>
  </si>
  <si>
    <t>08/05/2023</t>
  </si>
  <si>
    <t>05/16/2022</t>
  </si>
  <si>
    <t>07/30/2022</t>
  </si>
  <si>
    <t>03/23/2023</t>
  </si>
  <si>
    <t>07/05/2022</t>
  </si>
  <si>
    <t>06/24/2022</t>
  </si>
  <si>
    <t>12/12/2022</t>
  </si>
  <si>
    <t>08/11/2022</t>
  </si>
  <si>
    <t>01/08/2022</t>
  </si>
  <si>
    <t>08/05/2022</t>
  </si>
  <si>
    <t>01/16/2023</t>
  </si>
  <si>
    <t>08/20/2023</t>
  </si>
  <si>
    <t>09/26/2022</t>
  </si>
  <si>
    <t>04/03/2022</t>
  </si>
  <si>
    <t>09/02/2023</t>
  </si>
  <si>
    <t>08/18/2023</t>
  </si>
  <si>
    <t>07/07/2022</t>
  </si>
  <si>
    <t>12/24/2022</t>
  </si>
  <si>
    <t>10/23/2023</t>
  </si>
  <si>
    <t>06/15/2023</t>
  </si>
  <si>
    <t>01/21/2022</t>
  </si>
  <si>
    <t>08/16/2023</t>
  </si>
  <si>
    <t>12/08/2022</t>
  </si>
  <si>
    <t>01/22/2023</t>
  </si>
  <si>
    <t>09/29/2022</t>
  </si>
  <si>
    <t>12/04/2022</t>
  </si>
  <si>
    <t>04/12/2023</t>
  </si>
  <si>
    <t>01/30/2023</t>
  </si>
  <si>
    <t>10/11/2022</t>
  </si>
  <si>
    <t>08/17/2022</t>
  </si>
  <si>
    <t>07/20/2022</t>
  </si>
  <si>
    <t>03/01/2022</t>
  </si>
  <si>
    <t>01/05/2022</t>
  </si>
  <si>
    <t>02/15/2022</t>
  </si>
  <si>
    <t>03/09/2023</t>
  </si>
  <si>
    <t>11/08/2022</t>
  </si>
  <si>
    <t>02/17/2023</t>
  </si>
  <si>
    <t>01/12/2023</t>
  </si>
  <si>
    <t>02/02/2023</t>
  </si>
  <si>
    <t>07/28/2023</t>
  </si>
  <si>
    <t>10/03/2022</t>
  </si>
  <si>
    <t>08/02/2022</t>
  </si>
  <si>
    <t>01/17/2022</t>
  </si>
  <si>
    <t>06/10/2023</t>
  </si>
  <si>
    <t>10/31/2022</t>
  </si>
  <si>
    <t>05/15/2023</t>
  </si>
  <si>
    <t>08/04/2022</t>
  </si>
  <si>
    <t>10/21/2022</t>
  </si>
  <si>
    <t>06/14/2022</t>
  </si>
  <si>
    <t>05/08/2023</t>
  </si>
  <si>
    <t>12/21/2022</t>
  </si>
  <si>
    <t>11/18/2023</t>
  </si>
  <si>
    <t>05/18/2022</t>
  </si>
  <si>
    <t>12/26/2022</t>
  </si>
  <si>
    <t>09/29/2023</t>
  </si>
  <si>
    <t>01/27/2023</t>
  </si>
  <si>
    <t>02/20/2023</t>
  </si>
  <si>
    <t>07/17/2022</t>
  </si>
  <si>
    <t>03/03/2023</t>
  </si>
  <si>
    <t>10/15/2022</t>
  </si>
  <si>
    <t>05/26/2022</t>
  </si>
  <si>
    <t>06/07/2023</t>
  </si>
  <si>
    <t>07/03/2023</t>
  </si>
  <si>
    <t>10/11/2023</t>
  </si>
  <si>
    <t>12/29/2023</t>
  </si>
  <si>
    <t>08/04/2023</t>
  </si>
  <si>
    <t>03/14/2022</t>
  </si>
  <si>
    <t>04/13/2022</t>
  </si>
  <si>
    <t>03/30/2023</t>
  </si>
  <si>
    <t>12/06/2023</t>
  </si>
  <si>
    <t>05/29/2022</t>
  </si>
  <si>
    <t>02/14/2022</t>
  </si>
  <si>
    <t>06/24/2023</t>
  </si>
  <si>
    <t>08/17/2023</t>
  </si>
  <si>
    <t>04/08/2023</t>
  </si>
  <si>
    <t>12/15/2023</t>
  </si>
  <si>
    <t>07/14/2022</t>
  </si>
  <si>
    <t>08/26/2022</t>
  </si>
  <si>
    <t>05/04/2023</t>
  </si>
  <si>
    <t>08/15/2023</t>
  </si>
  <si>
    <t>06/27/2022</t>
  </si>
  <si>
    <t>05/10/2023</t>
  </si>
  <si>
    <t>07/01/2022</t>
  </si>
  <si>
    <t>04/21/2022</t>
  </si>
  <si>
    <t>06/04/2022</t>
  </si>
  <si>
    <t>11/26/2023</t>
  </si>
  <si>
    <t>09/13/2023</t>
  </si>
  <si>
    <t>03/16/2023</t>
  </si>
  <si>
    <t>07/26/2023</t>
  </si>
  <si>
    <t>12/03/2022</t>
  </si>
  <si>
    <t>08/18/2022</t>
  </si>
  <si>
    <t>12/03/2023</t>
  </si>
  <si>
    <t>10/18/2022</t>
  </si>
  <si>
    <t>07/09/2022</t>
  </si>
  <si>
    <t>02/27/2023</t>
  </si>
  <si>
    <t>02/11/2022</t>
  </si>
  <si>
    <t>09/05/2023</t>
  </si>
  <si>
    <t>08/08/2022</t>
  </si>
  <si>
    <t>04/17/2022</t>
  </si>
  <si>
    <t>08/14/2023</t>
  </si>
  <si>
    <t>06/11/2022</t>
  </si>
  <si>
    <t>06/25/2022</t>
  </si>
  <si>
    <t>02/12/2022</t>
  </si>
  <si>
    <t>07/14/2023</t>
  </si>
  <si>
    <t>09/25/2022</t>
  </si>
  <si>
    <t>03/08/2022</t>
  </si>
  <si>
    <t>12/02/2022</t>
  </si>
  <si>
    <t>04/25/2023</t>
  </si>
  <si>
    <t>04/02/2023</t>
  </si>
  <si>
    <t>10/06/2022</t>
  </si>
  <si>
    <t>06/06/2023</t>
  </si>
  <si>
    <t>09/17/2023</t>
  </si>
  <si>
    <t>09/21/2023</t>
  </si>
  <si>
    <t>02/03/2022</t>
  </si>
  <si>
    <t>03/02/2022</t>
  </si>
  <si>
    <t>04/01/2023</t>
  </si>
  <si>
    <t>02/21/2023</t>
  </si>
  <si>
    <t>11/16/2022</t>
  </si>
  <si>
    <t>05/11/2023</t>
  </si>
  <si>
    <t>03/10/2022</t>
  </si>
  <si>
    <t>04/03/2023</t>
  </si>
  <si>
    <t>07/01/2023</t>
  </si>
  <si>
    <t>05/07/2023</t>
  </si>
  <si>
    <t>01/27/2022</t>
  </si>
  <si>
    <t>11/22/2023</t>
  </si>
  <si>
    <t>04/05/2022</t>
  </si>
  <si>
    <t>04/18/2023</t>
  </si>
  <si>
    <t>12/16/2023</t>
  </si>
  <si>
    <t>05/02/2022</t>
  </si>
  <si>
    <t>04/02/2022</t>
  </si>
  <si>
    <t>06/12/2023</t>
  </si>
  <si>
    <t>08/19/2023</t>
  </si>
  <si>
    <t>05/26/2023</t>
  </si>
  <si>
    <t>06/22/2022</t>
  </si>
  <si>
    <t>05/03/2022</t>
  </si>
  <si>
    <t>12/06/2022</t>
  </si>
  <si>
    <t>09/23/2023</t>
  </si>
  <si>
    <t>03/24/2022</t>
  </si>
  <si>
    <t>12/31/2022</t>
  </si>
  <si>
    <t>05/22/2023</t>
  </si>
  <si>
    <t>11/13/2022</t>
  </si>
  <si>
    <t>02/26/2022</t>
  </si>
  <si>
    <t>06/10/2022</t>
  </si>
  <si>
    <t>10/10/2023</t>
  </si>
  <si>
    <t>09/02/2022</t>
  </si>
  <si>
    <t>12/29/2022</t>
  </si>
  <si>
    <t>03/05/2023</t>
  </si>
  <si>
    <t>11/17/2022</t>
  </si>
  <si>
    <t>07/23/2022</t>
  </si>
  <si>
    <t>06/03/2023</t>
  </si>
  <si>
    <t>09/16/2022</t>
  </si>
  <si>
    <t>03/17/2022</t>
  </si>
  <si>
    <t>01/09/2023</t>
  </si>
  <si>
    <t>01/01/2022</t>
  </si>
  <si>
    <t>05/02/2023</t>
  </si>
  <si>
    <t>07/08/2023</t>
  </si>
  <si>
    <t>05/25/2022</t>
  </si>
  <si>
    <t>07/22/2022</t>
  </si>
  <si>
    <t>02/25/2022</t>
  </si>
  <si>
    <t>02/05/2022</t>
  </si>
  <si>
    <t>09/06/2022</t>
  </si>
  <si>
    <t>08/30/2022</t>
  </si>
  <si>
    <t>08/12/2022</t>
  </si>
  <si>
    <t>08/21/2023</t>
  </si>
  <si>
    <t>08/03/2022</t>
  </si>
  <si>
    <t>09/10/2022</t>
  </si>
  <si>
    <t>06/21/2022</t>
  </si>
  <si>
    <t>11/29/2022</t>
  </si>
  <si>
    <t>12/15/2022</t>
  </si>
  <si>
    <t>04/01/2022</t>
  </si>
  <si>
    <t>06/02/2023</t>
  </si>
  <si>
    <t>12/14/2023</t>
  </si>
  <si>
    <t>08/03/2023</t>
  </si>
  <si>
    <t>12/07/2022</t>
  </si>
  <si>
    <t>09/12/2023</t>
  </si>
  <si>
    <t>07/10/2023</t>
  </si>
  <si>
    <t>01/23/2022</t>
  </si>
  <si>
    <t>08/30/2023</t>
  </si>
  <si>
    <t>04/25/2022</t>
  </si>
  <si>
    <t>11/24/2023</t>
  </si>
  <si>
    <t>11/21/2022</t>
  </si>
  <si>
    <t>08/23/2023</t>
  </si>
  <si>
    <t>Central</t>
  </si>
  <si>
    <t>South</t>
  </si>
  <si>
    <t>East</t>
  </si>
  <si>
    <t>West</t>
  </si>
  <si>
    <t>Office Supplies</t>
  </si>
  <si>
    <t>Furniture</t>
  </si>
  <si>
    <t>Technology</t>
  </si>
  <si>
    <t>Notepad</t>
  </si>
  <si>
    <t>Bookcase</t>
  </si>
  <si>
    <t>Stapler</t>
  </si>
  <si>
    <t>Printer</t>
  </si>
  <si>
    <t>Keyboard</t>
  </si>
  <si>
    <t>Laptop</t>
  </si>
  <si>
    <t>Filing Cabinet</t>
  </si>
  <si>
    <t>Monitor</t>
  </si>
  <si>
    <t>Pen</t>
  </si>
  <si>
    <t>Paper</t>
  </si>
  <si>
    <t>Table</t>
  </si>
  <si>
    <t>Chair</t>
  </si>
  <si>
    <t>Row Labels</t>
  </si>
  <si>
    <t>Grand Total</t>
  </si>
  <si>
    <t>Sum of Profit</t>
  </si>
  <si>
    <t>Sum of Sales</t>
  </si>
  <si>
    <t>Top sub category by sale</t>
  </si>
  <si>
    <t>Profit per category</t>
  </si>
  <si>
    <t>Day</t>
  </si>
  <si>
    <t>Month</t>
  </si>
  <si>
    <t>Year</t>
  </si>
  <si>
    <t>year2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</si>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</sst>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[Visualization_Practice_Data (1).xlsx]Pivot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61-45A2-9288-9E3F97AEEF37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61-45A2-9288-9E3F97AEEF37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61-45A2-9288-9E3F97AEEF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92464.620000000024</c:v>
                </c:pt>
                <c:pt idx="1">
                  <c:v>75124.469999999987</c:v>
                </c:pt>
                <c:pt idx="2">
                  <c:v>68025.36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C-4B6F-9010-0082B56F4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[Visualization_Practice_Data (1).xlsx]Pivot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Sub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table'!$A$17:$A$22</c:f>
              <c:strCache>
                <c:ptCount val="5"/>
                <c:pt idx="0">
                  <c:v>Keyboard</c:v>
                </c:pt>
                <c:pt idx="1">
                  <c:v>Monitor</c:v>
                </c:pt>
                <c:pt idx="2">
                  <c:v>Bookcase</c:v>
                </c:pt>
                <c:pt idx="3">
                  <c:v>Notepad</c:v>
                </c:pt>
                <c:pt idx="4">
                  <c:v>Laptop</c:v>
                </c:pt>
              </c:strCache>
            </c:strRef>
          </c:cat>
          <c:val>
            <c:numRef>
              <c:f>'Pivot table'!$B$17:$B$22</c:f>
              <c:numCache>
                <c:formatCode>General</c:formatCode>
                <c:ptCount val="5"/>
                <c:pt idx="0">
                  <c:v>173719.15000000002</c:v>
                </c:pt>
                <c:pt idx="1">
                  <c:v>157346.47000000003</c:v>
                </c:pt>
                <c:pt idx="2">
                  <c:v>152524.71999999997</c:v>
                </c:pt>
                <c:pt idx="3">
                  <c:v>122511.48000000001</c:v>
                </c:pt>
                <c:pt idx="4">
                  <c:v>112874.70999999999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5-4581-8A75-5D4C5627FB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76886608"/>
        <c:axId val="376888048"/>
      </c:barChart>
      <c:catAx>
        <c:axId val="37688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6888048"/>
        <c:crosses val="autoZero"/>
        <c:auto val="1"/>
        <c:lblAlgn val="ctr"/>
        <c:lblOffset val="100"/>
        <c:noMultiLvlLbl val="0"/>
      </c:catAx>
      <c:valAx>
        <c:axId val="37688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688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[Visualization_Practice_Data (1).xlsx]Pivot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</a:t>
            </a:r>
          </a:p>
        </c:rich>
      </c:tx>
      <c:layout>
        <c:manualLayout>
          <c:xMode val="edge"/>
          <c:yMode val="edge"/>
          <c:x val="0.35600347491774792"/>
          <c:y val="2.3450586264656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2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'Pivot table'!$A$32:$A$44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table'!$B$32:$B$44</c:f>
              <c:numCache>
                <c:formatCode>General</c:formatCode>
                <c:ptCount val="12"/>
                <c:pt idx="0">
                  <c:v>110656.98000000001</c:v>
                </c:pt>
                <c:pt idx="1">
                  <c:v>100378.15000000001</c:v>
                </c:pt>
                <c:pt idx="2">
                  <c:v>53631.259999999995</c:v>
                </c:pt>
                <c:pt idx="3">
                  <c:v>144930.22999999998</c:v>
                </c:pt>
                <c:pt idx="4">
                  <c:v>83649.260000000009</c:v>
                </c:pt>
                <c:pt idx="5">
                  <c:v>112269.00999999998</c:v>
                </c:pt>
                <c:pt idx="6">
                  <c:v>106473.92999999998</c:v>
                </c:pt>
                <c:pt idx="7">
                  <c:v>139560.35999999999</c:v>
                </c:pt>
                <c:pt idx="8">
                  <c:v>121406.15</c:v>
                </c:pt>
                <c:pt idx="9">
                  <c:v>81401.549999999988</c:v>
                </c:pt>
                <c:pt idx="10">
                  <c:v>125705.92</c:v>
                </c:pt>
                <c:pt idx="11">
                  <c:v>153009.50999999998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C-4E02-8DCB-4AB3A43BF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932688"/>
        <c:axId val="376931728"/>
      </c:lineChart>
      <c:catAx>
        <c:axId val="37693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6931728"/>
        <c:crosses val="autoZero"/>
        <c:auto val="1"/>
        <c:lblAlgn val="ctr"/>
        <c:lblOffset val="100"/>
        <c:noMultiLvlLbl val="0"/>
      </c:catAx>
      <c:valAx>
        <c:axId val="37693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7693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76200</xdr:rowOff>
    </xdr:from>
    <xdr:to>
      <xdr:col>10</xdr:col>
      <xdr:colOff>352425</xdr:colOff>
      <xdr:row>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933B8-80A2-202C-DF2B-E8C376DE1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9524</xdr:colOff>
      <xdr:row>11</xdr:row>
      <xdr:rowOff>66675</xdr:rowOff>
    </xdr:from>
    <xdr:to>
      <xdr:col>10</xdr:col>
      <xdr:colOff>571499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BD771-EE39-7C88-D5EE-D2C79555E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723900</xdr:colOff>
      <xdr:row>27</xdr:row>
      <xdr:rowOff>85725</xdr:rowOff>
    </xdr:from>
    <xdr:to>
      <xdr:col>11</xdr:col>
      <xdr:colOff>447675</xdr:colOff>
      <xdr:row>46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3D3748-D2EC-978A-8187-AA62B9F19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l Ahou" refreshedDate="45964.409561689812" createdVersion="8" refreshedVersion="8" minRefreshableVersion="3" recordCount="350" xr:uid="{BB463B16-3134-41F0-A6E8-D57C5802B42D}">
  <cacheSource type="worksheet">
    <worksheetSource ref="A1:J351" sheet="working sheep"/>
  </cacheSource>
  <cacheFields count="10">
    <cacheField name="Order ID" numFmtId="0">
      <sharedItems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Year" numFmtId="0">
      <sharedItems containsSemiMixedTypes="0" containsString="0" containsNumber="1" containsInteger="1" minValue="2022" maxValue="2023" count="2">
        <n v="2023"/>
        <n v="2022"/>
      </sharedItems>
    </cacheField>
    <cacheField name="Region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Product" numFmtId="0">
      <sharedItems count="12">
        <s v="Notepad"/>
        <s v="Bookcase"/>
        <s v="Stapler"/>
        <s v="Printer"/>
        <s v="Keyboard"/>
        <s v="Laptop"/>
        <s v="Filing Cabinet"/>
        <s v="Monitor"/>
        <s v="Pen"/>
        <s v="Paper"/>
        <s v="Table"/>
        <s v="Chair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minValue="16.8" maxValue="12013.29"/>
    </cacheField>
    <cacheField name="Profit" numFmtId="0">
      <sharedItems containsSemiMixedTypes="0" containsString="0" containsNumber="1" minValue="4.63" maxValue="2960.45"/>
    </cacheField>
  </cacheFields>
  <extLst>
    <ext xmlns:x14="http://schemas.microsoft.com/office/spreadsheetml/2009/9/main" uri="{725AE2AE-9491-48be-B2B4-4EB974FC3084}">
      <x14:pivotCacheDefinition pivotCacheId="139314417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l Ahou" refreshedDate="45964.423696412035" createdVersion="8" refreshedVersion="8" minRefreshableVersion="3" recordCount="350" xr:uid="{D20BEA87-23C8-46DC-88EF-46FAEA9F0770}">
  <cacheSource type="worksheet">
    <worksheetSource name="Table1"/>
  </cacheSource>
  <cacheFields count="13">
    <cacheField name="Order ID" numFmtId="0">
      <sharedItems/>
    </cacheField>
    <cacheField name="Month" numFmtId="0">
      <sharedItems containsSemiMixedTypes="0" containsString="0" containsNumber="1" containsInteger="1" minValue="1" maxValue="12" count="12">
        <n v="4"/>
        <n v="11"/>
        <n v="5"/>
        <n v="12"/>
        <n v="3"/>
        <n v="1"/>
        <n v="6"/>
        <n v="8"/>
        <n v="2"/>
        <n v="10"/>
        <n v="7"/>
        <n v="9"/>
      </sharedItems>
    </cacheField>
    <cacheField name="Day" numFmtId="0">
      <sharedItems containsSemiMixedTypes="0" containsString="0" containsNumber="1" containsInteger="1" minValue="1" maxValue="31"/>
    </cacheField>
    <cacheField name="Year" numFmtId="0">
      <sharedItems containsSemiMixedTypes="0" containsString="0" containsNumber="1" containsInteger="1" minValue="2022" maxValue="2023"/>
    </cacheField>
    <cacheField name="Region" numFmtId="0">
      <sharedItems/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minValue="16.8" maxValue="12013.29"/>
    </cacheField>
    <cacheField name="Profit" numFmtId="0">
      <sharedItems containsSemiMixedTypes="0" containsString="0" containsNumber="1" minValue="4.63" maxValue="2960.45"/>
    </cacheField>
    <cacheField name="Order Date" numFmtId="0">
      <sharedItems/>
    </cacheField>
    <cacheField name="Months" numFmtId="0">
      <sharedItems count="12">
        <s v="Apr"/>
        <s v="Nov"/>
        <s v="May"/>
        <s v="Dec"/>
        <s v="Mar"/>
        <s v="Jan"/>
        <s v="Jun"/>
        <s v="Aug"/>
        <s v="Feb"/>
        <s v="Oct"/>
        <s v="Jul"/>
        <s v="Sep"/>
      </sharedItems>
    </cacheField>
    <cacheField name="year2" numFmtId="0">
      <sharedItems containsSemiMixedTypes="0" containsString="0" containsNumber="1" containsInteger="1" minValue="1905" maxValue="1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-1000"/>
    <n v="4"/>
    <n v="15"/>
    <x v="0"/>
    <s v="Central"/>
    <x v="0"/>
    <x v="0"/>
    <n v="7"/>
    <n v="9993.6200000000008"/>
    <n v="1472.05"/>
  </r>
  <r>
    <s v="ORD-1001"/>
    <n v="11"/>
    <n v="3"/>
    <x v="1"/>
    <s v="South"/>
    <x v="0"/>
    <x v="0"/>
    <n v="6"/>
    <n v="8489.16"/>
    <n v="1311.49"/>
  </r>
  <r>
    <s v="ORD-1002"/>
    <n v="4"/>
    <n v="26"/>
    <x v="1"/>
    <s v="South"/>
    <x v="1"/>
    <x v="1"/>
    <n v="3"/>
    <n v="4007.79"/>
    <n v="993.8"/>
  </r>
  <r>
    <s v="ORD-1003"/>
    <n v="11"/>
    <n v="11"/>
    <x v="1"/>
    <s v="East"/>
    <x v="1"/>
    <x v="1"/>
    <n v="6"/>
    <n v="92.4"/>
    <n v="12.32"/>
  </r>
  <r>
    <s v="ORD-1004"/>
    <n v="5"/>
    <n v="21"/>
    <x v="0"/>
    <s v="West"/>
    <x v="0"/>
    <x v="2"/>
    <n v="3"/>
    <n v="2122.59"/>
    <n v="138.47999999999999"/>
  </r>
  <r>
    <s v="ORD-1005"/>
    <n v="12"/>
    <n v="13"/>
    <x v="0"/>
    <s v="East"/>
    <x v="2"/>
    <x v="3"/>
    <n v="7"/>
    <n v="638.47"/>
    <n v="71.58"/>
  </r>
  <r>
    <s v="ORD-1006"/>
    <n v="12"/>
    <n v="19"/>
    <x v="0"/>
    <s v="East"/>
    <x v="2"/>
    <x v="4"/>
    <n v="9"/>
    <n v="604.79999999999995"/>
    <n v="56.58"/>
  </r>
  <r>
    <s v="ORD-1007"/>
    <n v="5"/>
    <n v="17"/>
    <x v="1"/>
    <s v="East"/>
    <x v="2"/>
    <x v="5"/>
    <n v="7"/>
    <n v="2396.66"/>
    <n v="150.66"/>
  </r>
  <r>
    <s v="ORD-1008"/>
    <n v="3"/>
    <n v="1"/>
    <x v="0"/>
    <s v="South"/>
    <x v="2"/>
    <x v="4"/>
    <n v="3"/>
    <n v="2725.65"/>
    <n v="696.8"/>
  </r>
  <r>
    <s v="ORD-1009"/>
    <n v="1"/>
    <n v="15"/>
    <x v="0"/>
    <s v="Central"/>
    <x v="1"/>
    <x v="6"/>
    <n v="9"/>
    <n v="6337.71"/>
    <n v="373.46"/>
  </r>
  <r>
    <s v="ORD-1010"/>
    <n v="1"/>
    <n v="28"/>
    <x v="1"/>
    <s v="South"/>
    <x v="2"/>
    <x v="7"/>
    <n v="8"/>
    <n v="7168.72"/>
    <n v="1787.88"/>
  </r>
  <r>
    <s v="ORD-1011"/>
    <n v="11"/>
    <n v="30"/>
    <x v="0"/>
    <s v="East"/>
    <x v="1"/>
    <x v="1"/>
    <n v="9"/>
    <n v="7845.57"/>
    <n v="579.34"/>
  </r>
  <r>
    <s v="ORD-1012"/>
    <n v="6"/>
    <n v="7"/>
    <x v="1"/>
    <s v="East"/>
    <x v="2"/>
    <x v="3"/>
    <n v="1"/>
    <n v="397.33"/>
    <n v="101.56"/>
  </r>
  <r>
    <s v="ORD-1013"/>
    <n v="4"/>
    <n v="28"/>
    <x v="0"/>
    <s v="South"/>
    <x v="2"/>
    <x v="3"/>
    <n v="4"/>
    <n v="3073.48"/>
    <n v="586.37"/>
  </r>
  <r>
    <s v="ORD-1014"/>
    <n v="8"/>
    <n v="12"/>
    <x v="0"/>
    <s v="South"/>
    <x v="0"/>
    <x v="8"/>
    <n v="2"/>
    <n v="57.24"/>
    <n v="4.9800000000000004"/>
  </r>
  <r>
    <s v="ORD-1015"/>
    <n v="2"/>
    <n v="17"/>
    <x v="1"/>
    <s v="South"/>
    <x v="0"/>
    <x v="0"/>
    <n v="9"/>
    <n v="2939.22"/>
    <n v="264.91000000000003"/>
  </r>
  <r>
    <s v="ORD-1016"/>
    <n v="10"/>
    <n v="7"/>
    <x v="0"/>
    <s v="Central"/>
    <x v="1"/>
    <x v="1"/>
    <n v="1"/>
    <n v="1119.2"/>
    <n v="67.06"/>
  </r>
  <r>
    <s v="ORD-1017"/>
    <n v="12"/>
    <n v="8"/>
    <x v="0"/>
    <s v="South"/>
    <x v="0"/>
    <x v="2"/>
    <n v="6"/>
    <n v="1794.3"/>
    <n v="431.97"/>
  </r>
  <r>
    <s v="ORD-1018"/>
    <n v="12"/>
    <n v="7"/>
    <x v="0"/>
    <s v="South"/>
    <x v="0"/>
    <x v="0"/>
    <n v="1"/>
    <n v="361.9"/>
    <n v="53.27"/>
  </r>
  <r>
    <s v="ORD-1019"/>
    <n v="4"/>
    <n v="14"/>
    <x v="0"/>
    <s v="West"/>
    <x v="1"/>
    <x v="1"/>
    <n v="6"/>
    <n v="1065.5999999999999"/>
    <n v="166.71"/>
  </r>
  <r>
    <s v="ORD-1020"/>
    <n v="12"/>
    <n v="2"/>
    <x v="0"/>
    <s v="South"/>
    <x v="2"/>
    <x v="3"/>
    <n v="9"/>
    <n v="6368.31"/>
    <n v="999.02"/>
  </r>
  <r>
    <s v="ORD-1021"/>
    <n v="7"/>
    <n v="6"/>
    <x v="1"/>
    <s v="South"/>
    <x v="2"/>
    <x v="7"/>
    <n v="6"/>
    <n v="6682.92"/>
    <n v="1552.08"/>
  </r>
  <r>
    <s v="ORD-1022"/>
    <n v="10"/>
    <n v="24"/>
    <x v="1"/>
    <s v="Central"/>
    <x v="2"/>
    <x v="7"/>
    <n v="1"/>
    <n v="773.68"/>
    <n v="66.010000000000005"/>
  </r>
  <r>
    <s v="ORD-1023"/>
    <n v="6"/>
    <n v="29"/>
    <x v="1"/>
    <s v="South"/>
    <x v="2"/>
    <x v="4"/>
    <n v="7"/>
    <n v="9491.86"/>
    <n v="1543.2"/>
  </r>
  <r>
    <s v="ORD-1024"/>
    <n v="1"/>
    <n v="31"/>
    <x v="1"/>
    <s v="West"/>
    <x v="1"/>
    <x v="1"/>
    <n v="6"/>
    <n v="5969.46"/>
    <n v="1591.75"/>
  </r>
  <r>
    <s v="ORD-1025"/>
    <n v="7"/>
    <n v="20"/>
    <x v="0"/>
    <s v="West"/>
    <x v="0"/>
    <x v="0"/>
    <n v="7"/>
    <n v="457.8"/>
    <n v="127.47"/>
  </r>
  <r>
    <s v="ORD-1026"/>
    <n v="1"/>
    <n v="6"/>
    <x v="1"/>
    <s v="Central"/>
    <x v="2"/>
    <x v="4"/>
    <n v="8"/>
    <n v="1065.2"/>
    <n v="186.95"/>
  </r>
  <r>
    <s v="ORD-1027"/>
    <n v="4"/>
    <n v="14"/>
    <x v="1"/>
    <s v="West"/>
    <x v="0"/>
    <x v="2"/>
    <n v="8"/>
    <n v="2883.36"/>
    <n v="434.46"/>
  </r>
  <r>
    <s v="ORD-1028"/>
    <n v="2"/>
    <n v="6"/>
    <x v="1"/>
    <s v="Central"/>
    <x v="2"/>
    <x v="5"/>
    <n v="3"/>
    <n v="210.57"/>
    <n v="17.32"/>
  </r>
  <r>
    <s v="ORD-1029"/>
    <n v="10"/>
    <n v="22"/>
    <x v="1"/>
    <s v="East"/>
    <x v="1"/>
    <x v="1"/>
    <n v="7"/>
    <n v="10140.969999999999"/>
    <n v="2601.46"/>
  </r>
  <r>
    <s v="ORD-1030"/>
    <n v="7"/>
    <n v="2"/>
    <x v="0"/>
    <s v="Central"/>
    <x v="1"/>
    <x v="1"/>
    <n v="3"/>
    <n v="3183.93"/>
    <n v="264.7"/>
  </r>
  <r>
    <s v="ORD-1031"/>
    <n v="12"/>
    <n v="23"/>
    <x v="0"/>
    <s v="West"/>
    <x v="0"/>
    <x v="8"/>
    <n v="7"/>
    <n v="8938.44"/>
    <n v="2594.62"/>
  </r>
  <r>
    <s v="ORD-1032"/>
    <n v="10"/>
    <n v="25"/>
    <x v="1"/>
    <s v="South"/>
    <x v="0"/>
    <x v="0"/>
    <n v="3"/>
    <n v="1661.64"/>
    <n v="107.47"/>
  </r>
  <r>
    <s v="ORD-1033"/>
    <n v="8"/>
    <n v="29"/>
    <x v="1"/>
    <s v="South"/>
    <x v="0"/>
    <x v="2"/>
    <n v="7"/>
    <n v="7794.43"/>
    <n v="1288.68"/>
  </r>
  <r>
    <s v="ORD-1034"/>
    <n v="1"/>
    <n v="2"/>
    <x v="1"/>
    <s v="South"/>
    <x v="0"/>
    <x v="2"/>
    <n v="3"/>
    <n v="2204.25"/>
    <n v="653.41"/>
  </r>
  <r>
    <s v="ORD-1035"/>
    <n v="9"/>
    <n v="12"/>
    <x v="1"/>
    <s v="West"/>
    <x v="1"/>
    <x v="1"/>
    <n v="7"/>
    <n v="4718.7700000000004"/>
    <n v="767.98"/>
  </r>
  <r>
    <s v="ORD-1036"/>
    <n v="12"/>
    <n v="18"/>
    <x v="1"/>
    <s v="South"/>
    <x v="0"/>
    <x v="2"/>
    <n v="2"/>
    <n v="881.78"/>
    <n v="117.42"/>
  </r>
  <r>
    <s v="ORD-1037"/>
    <n v="1"/>
    <n v="20"/>
    <x v="1"/>
    <s v="Central"/>
    <x v="0"/>
    <x v="9"/>
    <n v="2"/>
    <n v="1204.96"/>
    <n v="309.61"/>
  </r>
  <r>
    <s v="ORD-1038"/>
    <n v="5"/>
    <n v="6"/>
    <x v="1"/>
    <s v="South"/>
    <x v="0"/>
    <x v="8"/>
    <n v="7"/>
    <n v="855.68"/>
    <n v="131.38"/>
  </r>
  <r>
    <s v="ORD-1039"/>
    <n v="11"/>
    <n v="15"/>
    <x v="1"/>
    <s v="West"/>
    <x v="1"/>
    <x v="1"/>
    <n v="4"/>
    <n v="4188.12"/>
    <n v="914.55"/>
  </r>
  <r>
    <s v="ORD-1040"/>
    <n v="7"/>
    <n v="26"/>
    <x v="1"/>
    <s v="East"/>
    <x v="2"/>
    <x v="3"/>
    <n v="5"/>
    <n v="4301.05"/>
    <n v="585.29999999999995"/>
  </r>
  <r>
    <s v="ORD-1041"/>
    <n v="2"/>
    <n v="24"/>
    <x v="0"/>
    <s v="West"/>
    <x v="0"/>
    <x v="8"/>
    <n v="7"/>
    <n v="9656.08"/>
    <n v="1459.32"/>
  </r>
  <r>
    <s v="ORD-1042"/>
    <n v="6"/>
    <n v="9"/>
    <x v="0"/>
    <s v="Central"/>
    <x v="0"/>
    <x v="8"/>
    <n v="2"/>
    <n v="1266.42"/>
    <n v="73.83"/>
  </r>
  <r>
    <s v="ORD-1043"/>
    <n v="7"/>
    <n v="2"/>
    <x v="1"/>
    <s v="East"/>
    <x v="2"/>
    <x v="5"/>
    <n v="1"/>
    <n v="630.19000000000005"/>
    <n v="78.31"/>
  </r>
  <r>
    <s v="ORD-1044"/>
    <n v="12"/>
    <n v="18"/>
    <x v="0"/>
    <s v="East"/>
    <x v="0"/>
    <x v="8"/>
    <n v="2"/>
    <n v="2499.38"/>
    <n v="317.33"/>
  </r>
  <r>
    <s v="ORD-1045"/>
    <n v="7"/>
    <n v="12"/>
    <x v="1"/>
    <s v="East"/>
    <x v="2"/>
    <x v="4"/>
    <n v="4"/>
    <n v="5623.4"/>
    <n v="1233.6099999999999"/>
  </r>
  <r>
    <s v="ORD-1046"/>
    <n v="3"/>
    <n v="31"/>
    <x v="0"/>
    <s v="South"/>
    <x v="0"/>
    <x v="9"/>
    <n v="1"/>
    <n v="167.61"/>
    <n v="36.01"/>
  </r>
  <r>
    <s v="ORD-1047"/>
    <n v="8"/>
    <n v="7"/>
    <x v="0"/>
    <s v="West"/>
    <x v="1"/>
    <x v="10"/>
    <n v="8"/>
    <n v="8869.2000000000007"/>
    <n v="1397.95"/>
  </r>
  <r>
    <s v="ORD-1048"/>
    <n v="4"/>
    <n v="30"/>
    <x v="1"/>
    <s v="West"/>
    <x v="2"/>
    <x v="4"/>
    <n v="9"/>
    <n v="10036.89"/>
    <n v="988.5"/>
  </r>
  <r>
    <s v="ORD-1049"/>
    <n v="9"/>
    <n v="27"/>
    <x v="0"/>
    <s v="Central"/>
    <x v="0"/>
    <x v="9"/>
    <n v="7"/>
    <n v="6466.88"/>
    <n v="1526.03"/>
  </r>
  <r>
    <s v="ORD-1050"/>
    <n v="4"/>
    <n v="27"/>
    <x v="0"/>
    <s v="South"/>
    <x v="2"/>
    <x v="4"/>
    <n v="9"/>
    <n v="1037.97"/>
    <n v="101.73"/>
  </r>
  <r>
    <s v="ORD-1051"/>
    <n v="1"/>
    <n v="26"/>
    <x v="1"/>
    <s v="West"/>
    <x v="2"/>
    <x v="5"/>
    <n v="9"/>
    <n v="10131.030000000001"/>
    <n v="746.46"/>
  </r>
  <r>
    <s v="ORD-1052"/>
    <n v="6"/>
    <n v="19"/>
    <x v="1"/>
    <s v="East"/>
    <x v="2"/>
    <x v="3"/>
    <n v="2"/>
    <n v="206.84"/>
    <n v="27.93"/>
  </r>
  <r>
    <s v="ORD-1053"/>
    <n v="4"/>
    <n v="21"/>
    <x v="0"/>
    <s v="Central"/>
    <x v="2"/>
    <x v="7"/>
    <n v="2"/>
    <n v="2936.54"/>
    <n v="659.21"/>
  </r>
  <r>
    <s v="ORD-1054"/>
    <n v="6"/>
    <n v="2"/>
    <x v="1"/>
    <s v="East"/>
    <x v="2"/>
    <x v="7"/>
    <n v="6"/>
    <n v="7542.3"/>
    <n v="2069.56"/>
  </r>
  <r>
    <s v="ORD-1055"/>
    <n v="5"/>
    <n v="12"/>
    <x v="0"/>
    <s v="Central"/>
    <x v="1"/>
    <x v="1"/>
    <n v="8"/>
    <n v="705.04"/>
    <n v="91.97"/>
  </r>
  <r>
    <s v="ORD-1056"/>
    <n v="10"/>
    <n v="30"/>
    <x v="1"/>
    <s v="West"/>
    <x v="2"/>
    <x v="3"/>
    <n v="8"/>
    <n v="3855.92"/>
    <n v="760.32"/>
  </r>
  <r>
    <s v="ORD-1057"/>
    <n v="11"/>
    <n v="11"/>
    <x v="1"/>
    <s v="South"/>
    <x v="2"/>
    <x v="3"/>
    <n v="1"/>
    <n v="823.27"/>
    <n v="77.27"/>
  </r>
  <r>
    <s v="ORD-1058"/>
    <n v="1"/>
    <n v="23"/>
    <x v="0"/>
    <s v="South"/>
    <x v="0"/>
    <x v="2"/>
    <n v="9"/>
    <n v="3485.43"/>
    <n v="728.82"/>
  </r>
  <r>
    <s v="ORD-1059"/>
    <n v="6"/>
    <n v="11"/>
    <x v="0"/>
    <s v="South"/>
    <x v="2"/>
    <x v="4"/>
    <n v="2"/>
    <n v="345.18"/>
    <n v="70.33"/>
  </r>
  <r>
    <s v="ORD-1060"/>
    <n v="11"/>
    <n v="5"/>
    <x v="0"/>
    <s v="West"/>
    <x v="2"/>
    <x v="3"/>
    <n v="3"/>
    <n v="3459"/>
    <n v="477.27"/>
  </r>
  <r>
    <s v="ORD-1061"/>
    <n v="8"/>
    <n v="29"/>
    <x v="0"/>
    <s v="West"/>
    <x v="0"/>
    <x v="8"/>
    <n v="1"/>
    <n v="285.77"/>
    <n v="28"/>
  </r>
  <r>
    <s v="ORD-1062"/>
    <n v="12"/>
    <n v="25"/>
    <x v="0"/>
    <s v="East"/>
    <x v="2"/>
    <x v="7"/>
    <n v="2"/>
    <n v="1548.84"/>
    <n v="409.18"/>
  </r>
  <r>
    <s v="ORD-1063"/>
    <n v="2"/>
    <n v="1"/>
    <x v="1"/>
    <s v="East"/>
    <x v="0"/>
    <x v="9"/>
    <n v="3"/>
    <n v="1282.1400000000001"/>
    <n v="310.70999999999998"/>
  </r>
  <r>
    <s v="ORD-1064"/>
    <n v="6"/>
    <n v="5"/>
    <x v="0"/>
    <s v="West"/>
    <x v="0"/>
    <x v="9"/>
    <n v="1"/>
    <n v="157.12"/>
    <n v="15.1"/>
  </r>
  <r>
    <s v="ORD-1065"/>
    <n v="11"/>
    <n v="5"/>
    <x v="1"/>
    <s v="South"/>
    <x v="0"/>
    <x v="2"/>
    <n v="1"/>
    <n v="190.34"/>
    <n v="30.42"/>
  </r>
  <r>
    <s v="ORD-1066"/>
    <n v="12"/>
    <n v="16"/>
    <x v="1"/>
    <s v="East"/>
    <x v="2"/>
    <x v="5"/>
    <n v="3"/>
    <n v="1579.5"/>
    <n v="350.75"/>
  </r>
  <r>
    <s v="ORD-1067"/>
    <n v="11"/>
    <n v="14"/>
    <x v="0"/>
    <s v="West"/>
    <x v="1"/>
    <x v="11"/>
    <n v="3"/>
    <n v="2823.15"/>
    <n v="326.36"/>
  </r>
  <r>
    <s v="ORD-1068"/>
    <n v="7"/>
    <n v="27"/>
    <x v="1"/>
    <s v="South"/>
    <x v="0"/>
    <x v="2"/>
    <n v="1"/>
    <n v="16.8"/>
    <n v="4.63"/>
  </r>
  <r>
    <s v="ORD-1069"/>
    <n v="1"/>
    <n v="29"/>
    <x v="0"/>
    <s v="South"/>
    <x v="2"/>
    <x v="5"/>
    <n v="4"/>
    <n v="191.44"/>
    <n v="26.33"/>
  </r>
  <r>
    <s v="ORD-1070"/>
    <n v="11"/>
    <n v="2"/>
    <x v="1"/>
    <s v="South"/>
    <x v="2"/>
    <x v="7"/>
    <n v="7"/>
    <n v="10467.450000000001"/>
    <n v="2595.65"/>
  </r>
  <r>
    <s v="ORD-1071"/>
    <n v="3"/>
    <n v="4"/>
    <x v="1"/>
    <s v="Central"/>
    <x v="1"/>
    <x v="1"/>
    <n v="5"/>
    <n v="4494.8"/>
    <n v="1152.43"/>
  </r>
  <r>
    <s v="ORD-1072"/>
    <n v="1"/>
    <n v="30"/>
    <x v="1"/>
    <s v="West"/>
    <x v="2"/>
    <x v="3"/>
    <n v="1"/>
    <n v="1406.11"/>
    <n v="140.01"/>
  </r>
  <r>
    <s v="ORD-1073"/>
    <n v="9"/>
    <n v="18"/>
    <x v="0"/>
    <s v="East"/>
    <x v="1"/>
    <x v="11"/>
    <n v="3"/>
    <n v="3729.75"/>
    <n v="726.86"/>
  </r>
  <r>
    <s v="ORD-1074"/>
    <n v="5"/>
    <n v="7"/>
    <x v="1"/>
    <s v="South"/>
    <x v="0"/>
    <x v="9"/>
    <n v="3"/>
    <n v="953.07"/>
    <n v="113.59"/>
  </r>
  <r>
    <s v="ORD-1075"/>
    <n v="8"/>
    <n v="24"/>
    <x v="1"/>
    <s v="Central"/>
    <x v="1"/>
    <x v="6"/>
    <n v="1"/>
    <n v="1096.6400000000001"/>
    <n v="183.64"/>
  </r>
  <r>
    <s v="ORD-1076"/>
    <n v="9"/>
    <n v="21"/>
    <x v="1"/>
    <s v="East"/>
    <x v="0"/>
    <x v="8"/>
    <n v="4"/>
    <n v="5611.76"/>
    <n v="676.13"/>
  </r>
  <r>
    <s v="ORD-1077"/>
    <n v="12"/>
    <n v="31"/>
    <x v="0"/>
    <s v="South"/>
    <x v="2"/>
    <x v="3"/>
    <n v="8"/>
    <n v="4249.68"/>
    <n v="1253.0899999999999"/>
  </r>
  <r>
    <s v="ORD-1078"/>
    <n v="5"/>
    <n v="1"/>
    <x v="1"/>
    <s v="South"/>
    <x v="2"/>
    <x v="7"/>
    <n v="6"/>
    <n v="2487.6"/>
    <n v="223.33"/>
  </r>
  <r>
    <s v="ORD-1079"/>
    <n v="1"/>
    <n v="25"/>
    <x v="0"/>
    <s v="Central"/>
    <x v="2"/>
    <x v="5"/>
    <n v="5"/>
    <n v="7481.9"/>
    <n v="1792.92"/>
  </r>
  <r>
    <s v="ORD-1080"/>
    <n v="5"/>
    <n v="1"/>
    <x v="1"/>
    <s v="West"/>
    <x v="2"/>
    <x v="5"/>
    <n v="1"/>
    <n v="414.86"/>
    <n v="121.16"/>
  </r>
  <r>
    <s v="ORD-1081"/>
    <n v="2"/>
    <n v="24"/>
    <x v="0"/>
    <s v="Central"/>
    <x v="0"/>
    <x v="0"/>
    <n v="5"/>
    <n v="1121.9000000000001"/>
    <n v="111.09"/>
  </r>
  <r>
    <s v="ORD-1082"/>
    <n v="6"/>
    <n v="28"/>
    <x v="1"/>
    <s v="West"/>
    <x v="0"/>
    <x v="8"/>
    <n v="6"/>
    <n v="6839.16"/>
    <n v="1086.72"/>
  </r>
  <r>
    <s v="ORD-1083"/>
    <n v="8"/>
    <n v="31"/>
    <x v="1"/>
    <s v="South"/>
    <x v="0"/>
    <x v="0"/>
    <n v="1"/>
    <n v="915.97"/>
    <n v="61.25"/>
  </r>
  <r>
    <s v="ORD-1084"/>
    <n v="10"/>
    <n v="22"/>
    <x v="0"/>
    <s v="West"/>
    <x v="1"/>
    <x v="10"/>
    <n v="2"/>
    <n v="1540.28"/>
    <n v="247.56"/>
  </r>
  <r>
    <s v="ORD-1085"/>
    <n v="1"/>
    <n v="30"/>
    <x v="1"/>
    <s v="Central"/>
    <x v="1"/>
    <x v="6"/>
    <n v="4"/>
    <n v="1920.84"/>
    <n v="335.67"/>
  </r>
  <r>
    <s v="ORD-1086"/>
    <n v="2"/>
    <n v="13"/>
    <x v="1"/>
    <s v="Central"/>
    <x v="2"/>
    <x v="4"/>
    <n v="3"/>
    <n v="2784.39"/>
    <n v="528.91"/>
  </r>
  <r>
    <s v="ORD-1087"/>
    <n v="4"/>
    <n v="30"/>
    <x v="1"/>
    <s v="West"/>
    <x v="2"/>
    <x v="3"/>
    <n v="9"/>
    <n v="9894.15"/>
    <n v="2029.49"/>
  </r>
  <r>
    <s v="ORD-1088"/>
    <n v="1"/>
    <n v="7"/>
    <x v="0"/>
    <s v="West"/>
    <x v="2"/>
    <x v="4"/>
    <n v="4"/>
    <n v="750.64"/>
    <n v="163.81"/>
  </r>
  <r>
    <s v="ORD-1089"/>
    <n v="3"/>
    <n v="4"/>
    <x v="0"/>
    <s v="South"/>
    <x v="1"/>
    <x v="6"/>
    <n v="1"/>
    <n v="134.24"/>
    <n v="35.36"/>
  </r>
  <r>
    <s v="ORD-1090"/>
    <n v="3"/>
    <n v="14"/>
    <x v="0"/>
    <s v="East"/>
    <x v="1"/>
    <x v="11"/>
    <n v="1"/>
    <n v="1147.9100000000001"/>
    <n v="271.89"/>
  </r>
  <r>
    <s v="ORD-1091"/>
    <n v="1"/>
    <n v="23"/>
    <x v="0"/>
    <s v="East"/>
    <x v="0"/>
    <x v="0"/>
    <n v="8"/>
    <n v="8887.6"/>
    <n v="2551.42"/>
  </r>
  <r>
    <s v="ORD-1092"/>
    <n v="10"/>
    <n v="13"/>
    <x v="0"/>
    <s v="South"/>
    <x v="1"/>
    <x v="6"/>
    <n v="6"/>
    <n v="1562.46"/>
    <n v="341.02"/>
  </r>
  <r>
    <s v="ORD-1093"/>
    <n v="4"/>
    <n v="26"/>
    <x v="1"/>
    <s v="East"/>
    <x v="1"/>
    <x v="10"/>
    <n v="3"/>
    <n v="370.98"/>
    <n v="106.26"/>
  </r>
  <r>
    <s v="ORD-1094"/>
    <n v="2"/>
    <n v="3"/>
    <x v="0"/>
    <s v="East"/>
    <x v="0"/>
    <x v="8"/>
    <n v="9"/>
    <n v="1184.94"/>
    <n v="230.86"/>
  </r>
  <r>
    <s v="ORD-1095"/>
    <n v="11"/>
    <n v="13"/>
    <x v="0"/>
    <s v="Central"/>
    <x v="1"/>
    <x v="1"/>
    <n v="2"/>
    <n v="771.86"/>
    <n v="79.48"/>
  </r>
  <r>
    <s v="ORD-1096"/>
    <n v="4"/>
    <n v="9"/>
    <x v="0"/>
    <s v="South"/>
    <x v="2"/>
    <x v="3"/>
    <n v="7"/>
    <n v="2979.41"/>
    <n v="590.85"/>
  </r>
  <r>
    <s v="ORD-1097"/>
    <n v="4"/>
    <n v="27"/>
    <x v="1"/>
    <s v="Central"/>
    <x v="0"/>
    <x v="8"/>
    <n v="8"/>
    <n v="4234.16"/>
    <n v="1205.29"/>
  </r>
  <r>
    <s v="ORD-1098"/>
    <n v="10"/>
    <n v="14"/>
    <x v="0"/>
    <s v="South"/>
    <x v="1"/>
    <x v="6"/>
    <n v="7"/>
    <n v="5948.11"/>
    <n v="681.74"/>
  </r>
  <r>
    <s v="ORD-1099"/>
    <n v="8"/>
    <n v="5"/>
    <x v="0"/>
    <s v="West"/>
    <x v="1"/>
    <x v="10"/>
    <n v="2"/>
    <n v="2186.66"/>
    <n v="192.45"/>
  </r>
  <r>
    <s v="ORD-1100"/>
    <n v="5"/>
    <n v="16"/>
    <x v="1"/>
    <s v="South"/>
    <x v="1"/>
    <x v="1"/>
    <n v="6"/>
    <n v="8540.0400000000009"/>
    <n v="2475.86"/>
  </r>
  <r>
    <s v="ORD-1101"/>
    <n v="7"/>
    <n v="30"/>
    <x v="1"/>
    <s v="Central"/>
    <x v="2"/>
    <x v="3"/>
    <n v="2"/>
    <n v="1298.22"/>
    <n v="387.85"/>
  </r>
  <r>
    <s v="ORD-1102"/>
    <n v="4"/>
    <n v="27"/>
    <x v="1"/>
    <s v="West"/>
    <x v="2"/>
    <x v="4"/>
    <n v="9"/>
    <n v="10985.58"/>
    <n v="1929.06"/>
  </r>
  <r>
    <s v="ORD-1103"/>
    <n v="2"/>
    <n v="17"/>
    <x v="1"/>
    <s v="South"/>
    <x v="2"/>
    <x v="4"/>
    <n v="2"/>
    <n v="1679.64"/>
    <n v="154.69"/>
  </r>
  <r>
    <s v="ORD-1104"/>
    <n v="3"/>
    <n v="23"/>
    <x v="0"/>
    <s v="East"/>
    <x v="2"/>
    <x v="5"/>
    <n v="5"/>
    <n v="1377.7"/>
    <n v="69.180000000000007"/>
  </r>
  <r>
    <s v="ORD-1105"/>
    <n v="7"/>
    <n v="5"/>
    <x v="1"/>
    <s v="South"/>
    <x v="0"/>
    <x v="2"/>
    <n v="9"/>
    <n v="12013.29"/>
    <n v="1491.41"/>
  </r>
  <r>
    <s v="ORD-1106"/>
    <n v="6"/>
    <n v="24"/>
    <x v="1"/>
    <s v="South"/>
    <x v="2"/>
    <x v="4"/>
    <n v="8"/>
    <n v="4943.04"/>
    <n v="1361.2"/>
  </r>
  <r>
    <s v="ORD-1107"/>
    <n v="12"/>
    <n v="12"/>
    <x v="1"/>
    <s v="East"/>
    <x v="2"/>
    <x v="5"/>
    <n v="9"/>
    <n v="6198.3"/>
    <n v="885.01"/>
  </r>
  <r>
    <s v="ORD-1108"/>
    <n v="8"/>
    <n v="11"/>
    <x v="1"/>
    <s v="West"/>
    <x v="0"/>
    <x v="0"/>
    <n v="7"/>
    <n v="8562.5400000000009"/>
    <n v="2211.1799999999998"/>
  </r>
  <r>
    <s v="ORD-1109"/>
    <n v="1"/>
    <n v="8"/>
    <x v="1"/>
    <s v="West"/>
    <x v="1"/>
    <x v="1"/>
    <n v="7"/>
    <n v="1372.28"/>
    <n v="160.88"/>
  </r>
  <r>
    <s v="ORD-1110"/>
    <n v="8"/>
    <n v="5"/>
    <x v="1"/>
    <s v="West"/>
    <x v="2"/>
    <x v="3"/>
    <n v="4"/>
    <n v="4087.32"/>
    <n v="229.62"/>
  </r>
  <r>
    <s v="ORD-1111"/>
    <n v="1"/>
    <n v="16"/>
    <x v="0"/>
    <s v="Central"/>
    <x v="0"/>
    <x v="9"/>
    <n v="5"/>
    <n v="2782.4"/>
    <n v="617.16999999999996"/>
  </r>
  <r>
    <s v="ORD-1112"/>
    <n v="8"/>
    <n v="20"/>
    <x v="0"/>
    <s v="West"/>
    <x v="1"/>
    <x v="6"/>
    <n v="8"/>
    <n v="1151.52"/>
    <n v="181.14"/>
  </r>
  <r>
    <s v="ORD-1113"/>
    <n v="9"/>
    <n v="26"/>
    <x v="1"/>
    <s v="Central"/>
    <x v="2"/>
    <x v="4"/>
    <n v="6"/>
    <n v="3190.26"/>
    <n v="941.25"/>
  </r>
  <r>
    <s v="ORD-1114"/>
    <n v="4"/>
    <n v="3"/>
    <x v="1"/>
    <s v="Central"/>
    <x v="2"/>
    <x v="3"/>
    <n v="8"/>
    <n v="3340.64"/>
    <n v="676.35"/>
  </r>
  <r>
    <s v="ORD-1115"/>
    <n v="9"/>
    <n v="2"/>
    <x v="0"/>
    <s v="West"/>
    <x v="2"/>
    <x v="5"/>
    <n v="5"/>
    <n v="1227.05"/>
    <n v="114.16"/>
  </r>
  <r>
    <s v="ORD-1116"/>
    <n v="1"/>
    <n v="7"/>
    <x v="0"/>
    <s v="East"/>
    <x v="2"/>
    <x v="5"/>
    <n v="9"/>
    <n v="3797.91"/>
    <n v="1120.7"/>
  </r>
  <r>
    <s v="ORD-1117"/>
    <n v="8"/>
    <n v="18"/>
    <x v="0"/>
    <s v="Central"/>
    <x v="0"/>
    <x v="0"/>
    <n v="6"/>
    <n v="6821.94"/>
    <n v="969.94"/>
  </r>
  <r>
    <s v="ORD-1118"/>
    <n v="7"/>
    <n v="7"/>
    <x v="1"/>
    <s v="South"/>
    <x v="0"/>
    <x v="2"/>
    <n v="2"/>
    <n v="1370.98"/>
    <n v="258.04000000000002"/>
  </r>
  <r>
    <s v="ORD-1119"/>
    <n v="2"/>
    <n v="13"/>
    <x v="1"/>
    <s v="East"/>
    <x v="1"/>
    <x v="10"/>
    <n v="5"/>
    <n v="2134.4499999999998"/>
    <n v="623.41"/>
  </r>
  <r>
    <s v="ORD-1120"/>
    <n v="12"/>
    <n v="24"/>
    <x v="1"/>
    <s v="West"/>
    <x v="0"/>
    <x v="2"/>
    <n v="8"/>
    <n v="2821.6"/>
    <n v="808.7"/>
  </r>
  <r>
    <s v="ORD-1121"/>
    <n v="6"/>
    <n v="19"/>
    <x v="1"/>
    <s v="West"/>
    <x v="2"/>
    <x v="7"/>
    <n v="3"/>
    <n v="105.84"/>
    <n v="6.88"/>
  </r>
  <r>
    <s v="ORD-1122"/>
    <n v="11"/>
    <n v="11"/>
    <x v="1"/>
    <s v="West"/>
    <x v="2"/>
    <x v="3"/>
    <n v="2"/>
    <n v="2892.62"/>
    <n v="738.44"/>
  </r>
  <r>
    <s v="ORD-1123"/>
    <n v="10"/>
    <n v="23"/>
    <x v="0"/>
    <s v="East"/>
    <x v="0"/>
    <x v="9"/>
    <n v="2"/>
    <n v="2097.58"/>
    <n v="474.38"/>
  </r>
  <r>
    <s v="ORD-1124"/>
    <n v="6"/>
    <n v="15"/>
    <x v="0"/>
    <s v="East"/>
    <x v="1"/>
    <x v="6"/>
    <n v="1"/>
    <n v="391.78"/>
    <n v="115.28"/>
  </r>
  <r>
    <s v="ORD-1125"/>
    <n v="1"/>
    <n v="21"/>
    <x v="1"/>
    <s v="Central"/>
    <x v="1"/>
    <x v="1"/>
    <n v="3"/>
    <n v="2707.32"/>
    <n v="180.12"/>
  </r>
  <r>
    <s v="ORD-1126"/>
    <n v="8"/>
    <n v="16"/>
    <x v="0"/>
    <s v="West"/>
    <x v="1"/>
    <x v="10"/>
    <n v="5"/>
    <n v="3344"/>
    <n v="942.05"/>
  </r>
  <r>
    <s v="ORD-1127"/>
    <n v="12"/>
    <n v="8"/>
    <x v="1"/>
    <s v="East"/>
    <x v="1"/>
    <x v="11"/>
    <n v="9"/>
    <n v="10681.29"/>
    <n v="2960.45"/>
  </r>
  <r>
    <s v="ORD-1128"/>
    <n v="1"/>
    <n v="22"/>
    <x v="0"/>
    <s v="Central"/>
    <x v="0"/>
    <x v="0"/>
    <n v="2"/>
    <n v="240.48"/>
    <n v="53.76"/>
  </r>
  <r>
    <s v="ORD-1129"/>
    <n v="9"/>
    <n v="29"/>
    <x v="1"/>
    <s v="Central"/>
    <x v="1"/>
    <x v="1"/>
    <n v="6"/>
    <n v="7296.06"/>
    <n v="486.92"/>
  </r>
  <r>
    <s v="ORD-1130"/>
    <n v="12"/>
    <n v="4"/>
    <x v="1"/>
    <s v="South"/>
    <x v="2"/>
    <x v="4"/>
    <n v="7"/>
    <n v="8371.58"/>
    <n v="2104.08"/>
  </r>
  <r>
    <s v="ORD-1131"/>
    <n v="4"/>
    <n v="12"/>
    <x v="0"/>
    <s v="Central"/>
    <x v="0"/>
    <x v="8"/>
    <n v="2"/>
    <n v="810.36"/>
    <n v="203.34"/>
  </r>
  <r>
    <s v="ORD-1132"/>
    <n v="1"/>
    <n v="30"/>
    <x v="0"/>
    <s v="Central"/>
    <x v="1"/>
    <x v="6"/>
    <n v="5"/>
    <n v="7294.85"/>
    <n v="559.71"/>
  </r>
  <r>
    <s v="ORD-1133"/>
    <n v="10"/>
    <n v="11"/>
    <x v="1"/>
    <s v="West"/>
    <x v="1"/>
    <x v="1"/>
    <n v="7"/>
    <n v="6133.47"/>
    <n v="1403.41"/>
  </r>
  <r>
    <s v="ORD-1134"/>
    <n v="8"/>
    <n v="17"/>
    <x v="1"/>
    <s v="South"/>
    <x v="2"/>
    <x v="4"/>
    <n v="7"/>
    <n v="8296.68"/>
    <n v="519.72"/>
  </r>
  <r>
    <s v="ORD-1135"/>
    <n v="7"/>
    <n v="20"/>
    <x v="1"/>
    <s v="West"/>
    <x v="2"/>
    <x v="3"/>
    <n v="6"/>
    <n v="641.52"/>
    <n v="187.26"/>
  </r>
  <r>
    <s v="ORD-1136"/>
    <n v="3"/>
    <n v="1"/>
    <x v="1"/>
    <s v="East"/>
    <x v="0"/>
    <x v="9"/>
    <n v="6"/>
    <n v="3223.38"/>
    <n v="282.76"/>
  </r>
  <r>
    <s v="ORD-1137"/>
    <n v="1"/>
    <n v="5"/>
    <x v="1"/>
    <s v="Central"/>
    <x v="0"/>
    <x v="0"/>
    <n v="6"/>
    <n v="1982.94"/>
    <n v="362.12"/>
  </r>
  <r>
    <s v="ORD-1138"/>
    <n v="2"/>
    <n v="15"/>
    <x v="1"/>
    <s v="East"/>
    <x v="0"/>
    <x v="0"/>
    <n v="7"/>
    <n v="9461.69"/>
    <n v="2219.2600000000002"/>
  </r>
  <r>
    <s v="ORD-1139"/>
    <n v="3"/>
    <n v="9"/>
    <x v="0"/>
    <s v="Central"/>
    <x v="0"/>
    <x v="0"/>
    <n v="2"/>
    <n v="1667.1"/>
    <n v="303.26"/>
  </r>
  <r>
    <s v="ORD-1140"/>
    <n v="11"/>
    <n v="8"/>
    <x v="1"/>
    <s v="West"/>
    <x v="2"/>
    <x v="4"/>
    <n v="5"/>
    <n v="3883.4"/>
    <n v="541.24"/>
  </r>
  <r>
    <s v="ORD-1141"/>
    <n v="2"/>
    <n v="17"/>
    <x v="0"/>
    <s v="West"/>
    <x v="2"/>
    <x v="7"/>
    <n v="7"/>
    <n v="9611.42"/>
    <n v="756.15"/>
  </r>
  <r>
    <s v="ORD-1142"/>
    <n v="1"/>
    <n v="12"/>
    <x v="0"/>
    <s v="Central"/>
    <x v="1"/>
    <x v="6"/>
    <n v="3"/>
    <n v="3440.43"/>
    <n v="904.66"/>
  </r>
  <r>
    <s v="ORD-1143"/>
    <n v="2"/>
    <n v="2"/>
    <x v="0"/>
    <s v="East"/>
    <x v="2"/>
    <x v="4"/>
    <n v="7"/>
    <n v="3426.43"/>
    <n v="260.83999999999997"/>
  </r>
  <r>
    <s v="ORD-1144"/>
    <n v="7"/>
    <n v="28"/>
    <x v="0"/>
    <s v="West"/>
    <x v="1"/>
    <x v="1"/>
    <n v="7"/>
    <n v="5894.84"/>
    <n v="1715.18"/>
  </r>
  <r>
    <s v="ORD-1145"/>
    <n v="10"/>
    <n v="3"/>
    <x v="1"/>
    <s v="East"/>
    <x v="2"/>
    <x v="5"/>
    <n v="1"/>
    <n v="1494.67"/>
    <n v="377.94"/>
  </r>
  <r>
    <s v="ORD-1146"/>
    <n v="8"/>
    <n v="2"/>
    <x v="1"/>
    <s v="South"/>
    <x v="2"/>
    <x v="4"/>
    <n v="9"/>
    <n v="6296.58"/>
    <n v="1585.94"/>
  </r>
  <r>
    <s v="ORD-1147"/>
    <n v="1"/>
    <n v="17"/>
    <x v="1"/>
    <s v="West"/>
    <x v="1"/>
    <x v="1"/>
    <n v="5"/>
    <n v="7263"/>
    <n v="1649.03"/>
  </r>
  <r>
    <s v="ORD-1148"/>
    <n v="11"/>
    <n v="13"/>
    <x v="0"/>
    <s v="Central"/>
    <x v="2"/>
    <x v="3"/>
    <n v="8"/>
    <n v="7507.04"/>
    <n v="871"/>
  </r>
  <r>
    <s v="ORD-1149"/>
    <n v="10"/>
    <n v="24"/>
    <x v="1"/>
    <s v="West"/>
    <x v="1"/>
    <x v="11"/>
    <n v="1"/>
    <n v="476.45"/>
    <n v="63.3"/>
  </r>
  <r>
    <s v="ORD-1150"/>
    <n v="6"/>
    <n v="10"/>
    <x v="0"/>
    <s v="West"/>
    <x v="1"/>
    <x v="1"/>
    <n v="9"/>
    <n v="4602.0600000000004"/>
    <n v="1165.51"/>
  </r>
  <r>
    <s v="ORD-1151"/>
    <n v="10"/>
    <n v="11"/>
    <x v="1"/>
    <s v="West"/>
    <x v="0"/>
    <x v="9"/>
    <n v="5"/>
    <n v="4281.2"/>
    <n v="776.07"/>
  </r>
  <r>
    <s v="ORD-1152"/>
    <n v="10"/>
    <n v="31"/>
    <x v="1"/>
    <s v="South"/>
    <x v="0"/>
    <x v="2"/>
    <n v="8"/>
    <n v="3598.4"/>
    <n v="958.75"/>
  </r>
  <r>
    <s v="ORD-1153"/>
    <n v="5"/>
    <n v="15"/>
    <x v="0"/>
    <s v="West"/>
    <x v="0"/>
    <x v="8"/>
    <n v="6"/>
    <n v="4702.74"/>
    <n v="619.95000000000005"/>
  </r>
  <r>
    <s v="ORD-1154"/>
    <n v="8"/>
    <n v="4"/>
    <x v="1"/>
    <s v="South"/>
    <x v="2"/>
    <x v="7"/>
    <n v="3"/>
    <n v="3866.28"/>
    <n v="1136.94"/>
  </r>
  <r>
    <s v="ORD-1155"/>
    <n v="10"/>
    <n v="21"/>
    <x v="1"/>
    <s v="Central"/>
    <x v="2"/>
    <x v="3"/>
    <n v="3"/>
    <n v="2719.98"/>
    <n v="243.28"/>
  </r>
  <r>
    <s v="ORD-1156"/>
    <n v="6"/>
    <n v="14"/>
    <x v="1"/>
    <s v="West"/>
    <x v="0"/>
    <x v="2"/>
    <n v="5"/>
    <n v="6622.5"/>
    <n v="827.96"/>
  </r>
  <r>
    <s v="ORD-1157"/>
    <n v="5"/>
    <n v="8"/>
    <x v="0"/>
    <s v="Central"/>
    <x v="2"/>
    <x v="4"/>
    <n v="5"/>
    <n v="7204.8"/>
    <n v="2152.52"/>
  </r>
  <r>
    <s v="ORD-1158"/>
    <n v="12"/>
    <n v="25"/>
    <x v="0"/>
    <s v="Central"/>
    <x v="1"/>
    <x v="6"/>
    <n v="1"/>
    <n v="934.17"/>
    <n v="193.1"/>
  </r>
  <r>
    <s v="ORD-1159"/>
    <n v="6"/>
    <n v="24"/>
    <x v="1"/>
    <s v="Central"/>
    <x v="1"/>
    <x v="10"/>
    <n v="5"/>
    <n v="7006.75"/>
    <n v="595.91"/>
  </r>
  <r>
    <s v="ORD-1160"/>
    <n v="12"/>
    <n v="21"/>
    <x v="1"/>
    <s v="East"/>
    <x v="1"/>
    <x v="10"/>
    <n v="2"/>
    <n v="2818.82"/>
    <n v="640.27"/>
  </r>
  <r>
    <s v="ORD-1161"/>
    <n v="11"/>
    <n v="18"/>
    <x v="0"/>
    <s v="Central"/>
    <x v="2"/>
    <x v="7"/>
    <n v="9"/>
    <n v="11361.06"/>
    <n v="2109.5100000000002"/>
  </r>
  <r>
    <s v="ORD-1162"/>
    <n v="12"/>
    <n v="8"/>
    <x v="1"/>
    <s v="South"/>
    <x v="2"/>
    <x v="7"/>
    <n v="8"/>
    <n v="1459.04"/>
    <n v="204.91"/>
  </r>
  <r>
    <s v="ORD-1163"/>
    <n v="5"/>
    <n v="18"/>
    <x v="1"/>
    <s v="Central"/>
    <x v="2"/>
    <x v="5"/>
    <n v="3"/>
    <n v="2987.91"/>
    <n v="881.57"/>
  </r>
  <r>
    <s v="ORD-1164"/>
    <n v="12"/>
    <n v="26"/>
    <x v="1"/>
    <s v="Central"/>
    <x v="1"/>
    <x v="10"/>
    <n v="4"/>
    <n v="1677.4"/>
    <n v="483.57"/>
  </r>
  <r>
    <s v="ORD-1165"/>
    <n v="2"/>
    <n v="17"/>
    <x v="0"/>
    <s v="East"/>
    <x v="0"/>
    <x v="8"/>
    <n v="9"/>
    <n v="1354.05"/>
    <n v="289.97000000000003"/>
  </r>
  <r>
    <s v="ORD-1166"/>
    <n v="9"/>
    <n v="29"/>
    <x v="0"/>
    <s v="West"/>
    <x v="0"/>
    <x v="2"/>
    <n v="7"/>
    <n v="6969.13"/>
    <n v="1078.96"/>
  </r>
  <r>
    <s v="ORD-1167"/>
    <n v="1"/>
    <n v="27"/>
    <x v="0"/>
    <s v="East"/>
    <x v="2"/>
    <x v="7"/>
    <n v="1"/>
    <n v="1219.24"/>
    <n v="199.73"/>
  </r>
  <r>
    <s v="ORD-1168"/>
    <n v="2"/>
    <n v="20"/>
    <x v="0"/>
    <s v="East"/>
    <x v="0"/>
    <x v="0"/>
    <n v="2"/>
    <n v="1511.08"/>
    <n v="353.36"/>
  </r>
  <r>
    <s v="ORD-1169"/>
    <n v="12"/>
    <n v="18"/>
    <x v="1"/>
    <s v="East"/>
    <x v="0"/>
    <x v="0"/>
    <n v="8"/>
    <n v="6807.68"/>
    <n v="1489.58"/>
  </r>
  <r>
    <s v="ORD-1170"/>
    <n v="5"/>
    <n v="8"/>
    <x v="0"/>
    <s v="East"/>
    <x v="2"/>
    <x v="3"/>
    <n v="2"/>
    <n v="687.38"/>
    <n v="188.71"/>
  </r>
  <r>
    <s v="ORD-1171"/>
    <n v="3"/>
    <n v="14"/>
    <x v="0"/>
    <s v="South"/>
    <x v="1"/>
    <x v="11"/>
    <n v="7"/>
    <n v="4776.59"/>
    <n v="697.42"/>
  </r>
  <r>
    <s v="ORD-1172"/>
    <n v="7"/>
    <n v="17"/>
    <x v="1"/>
    <s v="East"/>
    <x v="2"/>
    <x v="4"/>
    <n v="5"/>
    <n v="6380.15"/>
    <n v="1701.33"/>
  </r>
  <r>
    <s v="ORD-1173"/>
    <n v="3"/>
    <n v="3"/>
    <x v="0"/>
    <s v="West"/>
    <x v="1"/>
    <x v="1"/>
    <n v="1"/>
    <n v="932.23"/>
    <n v="148.68"/>
  </r>
  <r>
    <s v="ORD-1174"/>
    <n v="10"/>
    <n v="15"/>
    <x v="1"/>
    <s v="East"/>
    <x v="0"/>
    <x v="9"/>
    <n v="3"/>
    <n v="2508.66"/>
    <n v="477.59"/>
  </r>
  <r>
    <s v="ORD-1175"/>
    <n v="5"/>
    <n v="26"/>
    <x v="1"/>
    <s v="South"/>
    <x v="1"/>
    <x v="1"/>
    <n v="5"/>
    <n v="2000.55"/>
    <n v="591.6"/>
  </r>
  <r>
    <s v="ORD-1176"/>
    <n v="6"/>
    <n v="7"/>
    <x v="0"/>
    <s v="Central"/>
    <x v="2"/>
    <x v="3"/>
    <n v="8"/>
    <n v="2036.56"/>
    <n v="607.17999999999995"/>
  </r>
  <r>
    <s v="ORD-1177"/>
    <n v="7"/>
    <n v="3"/>
    <x v="0"/>
    <s v="South"/>
    <x v="2"/>
    <x v="3"/>
    <n v="8"/>
    <n v="5073.04"/>
    <n v="753.28"/>
  </r>
  <r>
    <s v="ORD-1178"/>
    <n v="11"/>
    <n v="2"/>
    <x v="1"/>
    <s v="Central"/>
    <x v="2"/>
    <x v="5"/>
    <n v="8"/>
    <n v="11181.36"/>
    <n v="1084.51"/>
  </r>
  <r>
    <s v="ORD-1179"/>
    <n v="10"/>
    <n v="11"/>
    <x v="0"/>
    <s v="Central"/>
    <x v="1"/>
    <x v="1"/>
    <n v="8"/>
    <n v="8758.56"/>
    <n v="2477.8000000000002"/>
  </r>
  <r>
    <s v="ORD-1180"/>
    <n v="12"/>
    <n v="29"/>
    <x v="0"/>
    <s v="South"/>
    <x v="0"/>
    <x v="2"/>
    <n v="4"/>
    <n v="3252.44"/>
    <n v="467.43"/>
  </r>
  <r>
    <s v="ORD-1181"/>
    <n v="8"/>
    <n v="4"/>
    <x v="0"/>
    <s v="South"/>
    <x v="1"/>
    <x v="6"/>
    <n v="5"/>
    <n v="6251.65"/>
    <n v="1416.13"/>
  </r>
  <r>
    <s v="ORD-1182"/>
    <n v="3"/>
    <n v="14"/>
    <x v="1"/>
    <s v="South"/>
    <x v="1"/>
    <x v="11"/>
    <n v="4"/>
    <n v="2167.8000000000002"/>
    <n v="226.82"/>
  </r>
  <r>
    <s v="ORD-1183"/>
    <n v="4"/>
    <n v="13"/>
    <x v="1"/>
    <s v="East"/>
    <x v="2"/>
    <x v="4"/>
    <n v="8"/>
    <n v="8138.32"/>
    <n v="742.36"/>
  </r>
  <r>
    <s v="ORD-1184"/>
    <n v="3"/>
    <n v="30"/>
    <x v="0"/>
    <s v="East"/>
    <x v="0"/>
    <x v="8"/>
    <n v="2"/>
    <n v="2768.48"/>
    <n v="711.47"/>
  </r>
  <r>
    <s v="ORD-1185"/>
    <n v="12"/>
    <n v="6"/>
    <x v="0"/>
    <s v="South"/>
    <x v="0"/>
    <x v="0"/>
    <n v="1"/>
    <n v="367.52"/>
    <n v="94.17"/>
  </r>
  <r>
    <s v="ORD-1186"/>
    <n v="5"/>
    <n v="29"/>
    <x v="1"/>
    <s v="Central"/>
    <x v="1"/>
    <x v="11"/>
    <n v="8"/>
    <n v="9436.08"/>
    <n v="810.69"/>
  </r>
  <r>
    <s v="ORD-1187"/>
    <n v="2"/>
    <n v="14"/>
    <x v="1"/>
    <s v="South"/>
    <x v="1"/>
    <x v="1"/>
    <n v="7"/>
    <n v="6193.39"/>
    <n v="487.86"/>
  </r>
  <r>
    <s v="ORD-1188"/>
    <n v="6"/>
    <n v="24"/>
    <x v="0"/>
    <s v="West"/>
    <x v="1"/>
    <x v="11"/>
    <n v="1"/>
    <n v="941.31"/>
    <n v="76.38"/>
  </r>
  <r>
    <s v="ORD-1189"/>
    <n v="11"/>
    <n v="18"/>
    <x v="0"/>
    <s v="East"/>
    <x v="1"/>
    <x v="1"/>
    <n v="7"/>
    <n v="7239.61"/>
    <n v="444.29"/>
  </r>
  <r>
    <s v="ORD-1190"/>
    <n v="8"/>
    <n v="17"/>
    <x v="0"/>
    <s v="East"/>
    <x v="0"/>
    <x v="9"/>
    <n v="5"/>
    <n v="7035.45"/>
    <n v="541.64"/>
  </r>
  <r>
    <s v="ORD-1191"/>
    <n v="4"/>
    <n v="8"/>
    <x v="0"/>
    <s v="Central"/>
    <x v="2"/>
    <x v="3"/>
    <n v="1"/>
    <n v="830.28"/>
    <n v="85.03"/>
  </r>
  <r>
    <s v="ORD-1192"/>
    <n v="12"/>
    <n v="15"/>
    <x v="0"/>
    <s v="Central"/>
    <x v="1"/>
    <x v="11"/>
    <n v="7"/>
    <n v="6974.45"/>
    <n v="1719.63"/>
  </r>
  <r>
    <s v="ORD-1193"/>
    <n v="7"/>
    <n v="14"/>
    <x v="1"/>
    <s v="Central"/>
    <x v="0"/>
    <x v="2"/>
    <n v="5"/>
    <n v="4000.65"/>
    <n v="1112.42"/>
  </r>
  <r>
    <s v="ORD-1194"/>
    <n v="5"/>
    <n v="16"/>
    <x v="1"/>
    <s v="West"/>
    <x v="2"/>
    <x v="7"/>
    <n v="9"/>
    <n v="10781.46"/>
    <n v="2544.66"/>
  </r>
  <r>
    <s v="ORD-1195"/>
    <n v="10"/>
    <n v="21"/>
    <x v="1"/>
    <s v="Central"/>
    <x v="0"/>
    <x v="0"/>
    <n v="2"/>
    <n v="31.36"/>
    <n v="8.09"/>
  </r>
  <r>
    <s v="ORD-1196"/>
    <n v="8"/>
    <n v="26"/>
    <x v="1"/>
    <s v="Central"/>
    <x v="0"/>
    <x v="2"/>
    <n v="4"/>
    <n v="1084.76"/>
    <n v="276.97000000000003"/>
  </r>
  <r>
    <s v="ORD-1197"/>
    <n v="5"/>
    <n v="4"/>
    <x v="0"/>
    <s v="Central"/>
    <x v="2"/>
    <x v="7"/>
    <n v="9"/>
    <n v="239.4"/>
    <n v="58.68"/>
  </r>
  <r>
    <s v="ORD-1198"/>
    <n v="8"/>
    <n v="15"/>
    <x v="0"/>
    <s v="East"/>
    <x v="1"/>
    <x v="10"/>
    <n v="5"/>
    <n v="1059.5999999999999"/>
    <n v="160.66999999999999"/>
  </r>
  <r>
    <s v="ORD-1199"/>
    <n v="6"/>
    <n v="27"/>
    <x v="1"/>
    <s v="Central"/>
    <x v="0"/>
    <x v="2"/>
    <n v="7"/>
    <n v="3272.08"/>
    <n v="825.02"/>
  </r>
  <r>
    <s v="ORD-1200"/>
    <n v="6"/>
    <n v="14"/>
    <x v="1"/>
    <s v="Central"/>
    <x v="2"/>
    <x v="3"/>
    <n v="6"/>
    <n v="780.3"/>
    <n v="46.61"/>
  </r>
  <r>
    <s v="ORD-1201"/>
    <n v="5"/>
    <n v="10"/>
    <x v="0"/>
    <s v="Central"/>
    <x v="1"/>
    <x v="6"/>
    <n v="5"/>
    <n v="651.95000000000005"/>
    <n v="34.54"/>
  </r>
  <r>
    <s v="ORD-1202"/>
    <n v="7"/>
    <n v="1"/>
    <x v="1"/>
    <s v="South"/>
    <x v="0"/>
    <x v="2"/>
    <n v="5"/>
    <n v="1638.6"/>
    <n v="339.1"/>
  </r>
  <r>
    <s v="ORD-1203"/>
    <n v="8"/>
    <n v="2"/>
    <x v="1"/>
    <s v="Central"/>
    <x v="1"/>
    <x v="11"/>
    <n v="9"/>
    <n v="2058.21"/>
    <n v="542.34"/>
  </r>
  <r>
    <s v="ORD-1204"/>
    <n v="4"/>
    <n v="21"/>
    <x v="1"/>
    <s v="South"/>
    <x v="2"/>
    <x v="3"/>
    <n v="3"/>
    <n v="3283.68"/>
    <n v="255.82"/>
  </r>
  <r>
    <s v="ORD-1205"/>
    <n v="6"/>
    <n v="4"/>
    <x v="1"/>
    <s v="Central"/>
    <x v="0"/>
    <x v="0"/>
    <n v="2"/>
    <n v="1373.7"/>
    <n v="202.17"/>
  </r>
  <r>
    <s v="ORD-1206"/>
    <n v="11"/>
    <n v="26"/>
    <x v="0"/>
    <s v="South"/>
    <x v="0"/>
    <x v="0"/>
    <n v="5"/>
    <n v="4616.1000000000004"/>
    <n v="592.27"/>
  </r>
  <r>
    <s v="ORD-1207"/>
    <n v="9"/>
    <n v="13"/>
    <x v="0"/>
    <s v="West"/>
    <x v="0"/>
    <x v="2"/>
    <n v="6"/>
    <n v="5523.6"/>
    <n v="1549.39"/>
  </r>
  <r>
    <s v="ORD-1208"/>
    <n v="3"/>
    <n v="16"/>
    <x v="0"/>
    <s v="West"/>
    <x v="2"/>
    <x v="5"/>
    <n v="7"/>
    <n v="4148.76"/>
    <n v="220.03"/>
  </r>
  <r>
    <s v="ORD-1209"/>
    <n v="7"/>
    <n v="26"/>
    <x v="0"/>
    <s v="Central"/>
    <x v="2"/>
    <x v="5"/>
    <n v="7"/>
    <n v="3723.58"/>
    <n v="999.59"/>
  </r>
  <r>
    <s v="ORD-1210"/>
    <n v="7"/>
    <n v="1"/>
    <x v="1"/>
    <s v="South"/>
    <x v="0"/>
    <x v="2"/>
    <n v="9"/>
    <n v="7297.29"/>
    <n v="2138"/>
  </r>
  <r>
    <s v="ORD-1211"/>
    <n v="12"/>
    <n v="3"/>
    <x v="1"/>
    <s v="West"/>
    <x v="2"/>
    <x v="5"/>
    <n v="9"/>
    <n v="10086.48"/>
    <n v="2456.9899999999998"/>
  </r>
  <r>
    <s v="ORD-1212"/>
    <n v="8"/>
    <n v="18"/>
    <x v="1"/>
    <s v="West"/>
    <x v="0"/>
    <x v="8"/>
    <n v="7"/>
    <n v="5320.77"/>
    <n v="741.76"/>
  </r>
  <r>
    <s v="ORD-1213"/>
    <n v="12"/>
    <n v="3"/>
    <x v="0"/>
    <s v="South"/>
    <x v="1"/>
    <x v="6"/>
    <n v="5"/>
    <n v="6579.7"/>
    <n v="365.61"/>
  </r>
  <r>
    <s v="ORD-1214"/>
    <n v="9"/>
    <n v="27"/>
    <x v="0"/>
    <s v="East"/>
    <x v="2"/>
    <x v="3"/>
    <n v="2"/>
    <n v="158.58000000000001"/>
    <n v="17.059999999999999"/>
  </r>
  <r>
    <s v="ORD-1215"/>
    <n v="10"/>
    <n v="18"/>
    <x v="1"/>
    <s v="West"/>
    <x v="2"/>
    <x v="4"/>
    <n v="4"/>
    <n v="4582.6400000000003"/>
    <n v="740.58"/>
  </r>
  <r>
    <s v="ORD-1216"/>
    <n v="7"/>
    <n v="9"/>
    <x v="1"/>
    <s v="Central"/>
    <x v="2"/>
    <x v="5"/>
    <n v="9"/>
    <n v="3346.65"/>
    <n v="694.15"/>
  </r>
  <r>
    <s v="ORD-1217"/>
    <n v="2"/>
    <n v="27"/>
    <x v="0"/>
    <s v="South"/>
    <x v="1"/>
    <x v="11"/>
    <n v="4"/>
    <n v="2387.1999999999998"/>
    <n v="488.18"/>
  </r>
  <r>
    <s v="ORD-1218"/>
    <n v="2"/>
    <n v="11"/>
    <x v="1"/>
    <s v="Central"/>
    <x v="0"/>
    <x v="8"/>
    <n v="1"/>
    <n v="1394.93"/>
    <n v="406.64"/>
  </r>
  <r>
    <s v="ORD-1219"/>
    <n v="9"/>
    <n v="5"/>
    <x v="0"/>
    <s v="West"/>
    <x v="0"/>
    <x v="9"/>
    <n v="6"/>
    <n v="7284.66"/>
    <n v="1915.99"/>
  </r>
  <r>
    <s v="ORD-1220"/>
    <n v="8"/>
    <n v="8"/>
    <x v="1"/>
    <s v="Central"/>
    <x v="2"/>
    <x v="5"/>
    <n v="2"/>
    <n v="33.200000000000003"/>
    <n v="9.66"/>
  </r>
  <r>
    <s v="ORD-1221"/>
    <n v="4"/>
    <n v="17"/>
    <x v="1"/>
    <s v="South"/>
    <x v="0"/>
    <x v="0"/>
    <n v="5"/>
    <n v="6982.25"/>
    <n v="1340.84"/>
  </r>
  <r>
    <s v="ORD-1222"/>
    <n v="8"/>
    <n v="14"/>
    <x v="0"/>
    <s v="East"/>
    <x v="0"/>
    <x v="2"/>
    <n v="9"/>
    <n v="10591.11"/>
    <n v="548.82000000000005"/>
  </r>
  <r>
    <s v="ORD-1223"/>
    <n v="6"/>
    <n v="11"/>
    <x v="1"/>
    <s v="Central"/>
    <x v="1"/>
    <x v="11"/>
    <n v="1"/>
    <n v="122.79"/>
    <n v="24.72"/>
  </r>
  <r>
    <s v="ORD-1224"/>
    <n v="6"/>
    <n v="25"/>
    <x v="1"/>
    <s v="South"/>
    <x v="0"/>
    <x v="2"/>
    <n v="5"/>
    <n v="477.4"/>
    <n v="105.59"/>
  </r>
  <r>
    <s v="ORD-1225"/>
    <n v="2"/>
    <n v="12"/>
    <x v="1"/>
    <s v="South"/>
    <x v="2"/>
    <x v="7"/>
    <n v="1"/>
    <n v="945.32"/>
    <n v="116.61"/>
  </r>
  <r>
    <s v="ORD-1226"/>
    <n v="7"/>
    <n v="14"/>
    <x v="0"/>
    <s v="Central"/>
    <x v="0"/>
    <x v="9"/>
    <n v="5"/>
    <n v="5342.4"/>
    <n v="1545.33"/>
  </r>
  <r>
    <s v="ORD-1227"/>
    <n v="9"/>
    <n v="25"/>
    <x v="1"/>
    <s v="Central"/>
    <x v="0"/>
    <x v="9"/>
    <n v="5"/>
    <n v="5704.35"/>
    <n v="1491.85"/>
  </r>
  <r>
    <s v="ORD-1228"/>
    <n v="3"/>
    <n v="8"/>
    <x v="1"/>
    <s v="South"/>
    <x v="0"/>
    <x v="2"/>
    <n v="7"/>
    <n v="4519.62"/>
    <n v="637.99"/>
  </r>
  <r>
    <s v="ORD-1229"/>
    <n v="12"/>
    <n v="2"/>
    <x v="1"/>
    <s v="East"/>
    <x v="2"/>
    <x v="7"/>
    <n v="6"/>
    <n v="7736.64"/>
    <n v="1845.08"/>
  </r>
  <r>
    <s v="ORD-1230"/>
    <n v="9"/>
    <n v="21"/>
    <x v="1"/>
    <s v="Central"/>
    <x v="0"/>
    <x v="9"/>
    <n v="6"/>
    <n v="8639.52"/>
    <n v="1888.69"/>
  </r>
  <r>
    <s v="ORD-1231"/>
    <n v="4"/>
    <n v="25"/>
    <x v="0"/>
    <s v="West"/>
    <x v="2"/>
    <x v="7"/>
    <n v="3"/>
    <n v="3323.07"/>
    <n v="463.36"/>
  </r>
  <r>
    <s v="ORD-1232"/>
    <n v="4"/>
    <n v="2"/>
    <x v="0"/>
    <s v="West"/>
    <x v="2"/>
    <x v="7"/>
    <n v="2"/>
    <n v="2129.3200000000002"/>
    <n v="416.36"/>
  </r>
  <r>
    <s v="ORD-1233"/>
    <n v="10"/>
    <n v="6"/>
    <x v="1"/>
    <s v="West"/>
    <x v="1"/>
    <x v="1"/>
    <n v="6"/>
    <n v="4974.42"/>
    <n v="1426.38"/>
  </r>
  <r>
    <s v="ORD-1234"/>
    <n v="6"/>
    <n v="6"/>
    <x v="0"/>
    <s v="East"/>
    <x v="2"/>
    <x v="4"/>
    <n v="8"/>
    <n v="10285.36"/>
    <n v="1177.3800000000001"/>
  </r>
  <r>
    <s v="ORD-1235"/>
    <n v="9"/>
    <n v="17"/>
    <x v="0"/>
    <s v="East"/>
    <x v="2"/>
    <x v="7"/>
    <n v="5"/>
    <n v="4386.5"/>
    <n v="1300.51"/>
  </r>
  <r>
    <s v="ORD-1236"/>
    <n v="7"/>
    <n v="5"/>
    <x v="1"/>
    <s v="East"/>
    <x v="0"/>
    <x v="2"/>
    <n v="6"/>
    <n v="1755.42"/>
    <n v="325.02999999999997"/>
  </r>
  <r>
    <s v="ORD-1237"/>
    <n v="3"/>
    <n v="4"/>
    <x v="0"/>
    <s v="Central"/>
    <x v="2"/>
    <x v="7"/>
    <n v="2"/>
    <n v="1225.3800000000001"/>
    <n v="177.48"/>
  </r>
  <r>
    <s v="ORD-1238"/>
    <n v="11"/>
    <n v="5"/>
    <x v="0"/>
    <s v="East"/>
    <x v="2"/>
    <x v="4"/>
    <n v="3"/>
    <n v="2724.09"/>
    <n v="322.57"/>
  </r>
  <r>
    <s v="ORD-1239"/>
    <n v="9"/>
    <n v="21"/>
    <x v="0"/>
    <s v="West"/>
    <x v="0"/>
    <x v="8"/>
    <n v="8"/>
    <n v="8669.2800000000007"/>
    <n v="890.53"/>
  </r>
  <r>
    <s v="ORD-1240"/>
    <n v="2"/>
    <n v="3"/>
    <x v="1"/>
    <s v="West"/>
    <x v="1"/>
    <x v="6"/>
    <n v="2"/>
    <n v="1000.46"/>
    <n v="147.24"/>
  </r>
  <r>
    <s v="ORD-1241"/>
    <n v="3"/>
    <n v="2"/>
    <x v="1"/>
    <s v="South"/>
    <x v="0"/>
    <x v="0"/>
    <n v="1"/>
    <n v="1276.3800000000001"/>
    <n v="342.96"/>
  </r>
  <r>
    <s v="ORD-1242"/>
    <n v="9"/>
    <n v="27"/>
    <x v="0"/>
    <s v="South"/>
    <x v="2"/>
    <x v="7"/>
    <n v="3"/>
    <n v="4250.5200000000004"/>
    <n v="974.42"/>
  </r>
  <r>
    <s v="ORD-1243"/>
    <n v="4"/>
    <n v="1"/>
    <x v="0"/>
    <s v="Central"/>
    <x v="0"/>
    <x v="0"/>
    <n v="9"/>
    <n v="5558.76"/>
    <n v="829.56"/>
  </r>
  <r>
    <s v="ORD-1244"/>
    <n v="2"/>
    <n v="21"/>
    <x v="0"/>
    <s v="West"/>
    <x v="2"/>
    <x v="4"/>
    <n v="7"/>
    <n v="7253.54"/>
    <n v="1426.57"/>
  </r>
  <r>
    <s v="ORD-1245"/>
    <n v="11"/>
    <n v="16"/>
    <x v="1"/>
    <s v="East"/>
    <x v="1"/>
    <x v="10"/>
    <n v="6"/>
    <n v="3458.1"/>
    <n v="415.14"/>
  </r>
  <r>
    <s v="ORD-1246"/>
    <n v="5"/>
    <n v="11"/>
    <x v="0"/>
    <s v="South"/>
    <x v="2"/>
    <x v="5"/>
    <n v="6"/>
    <n v="4775.9399999999996"/>
    <n v="342.31"/>
  </r>
  <r>
    <s v="ORD-1247"/>
    <n v="3"/>
    <n v="10"/>
    <x v="1"/>
    <s v="West"/>
    <x v="2"/>
    <x v="7"/>
    <n v="1"/>
    <n v="1081.4000000000001"/>
    <n v="147.91"/>
  </r>
  <r>
    <s v="ORD-1248"/>
    <n v="4"/>
    <n v="3"/>
    <x v="0"/>
    <s v="Central"/>
    <x v="1"/>
    <x v="1"/>
    <n v="2"/>
    <n v="2804.46"/>
    <n v="715.26"/>
  </r>
  <r>
    <s v="ORD-1249"/>
    <n v="7"/>
    <n v="1"/>
    <x v="0"/>
    <s v="West"/>
    <x v="1"/>
    <x v="10"/>
    <n v="7"/>
    <n v="10298.89"/>
    <n v="676.85"/>
  </r>
  <r>
    <s v="ORD-1250"/>
    <n v="5"/>
    <n v="7"/>
    <x v="0"/>
    <s v="Central"/>
    <x v="0"/>
    <x v="0"/>
    <n v="2"/>
    <n v="2947.86"/>
    <n v="592.24"/>
  </r>
  <r>
    <s v="ORD-1251"/>
    <n v="1"/>
    <n v="27"/>
    <x v="1"/>
    <s v="East"/>
    <x v="0"/>
    <x v="8"/>
    <n v="5"/>
    <n v="2094.4"/>
    <n v="156.29"/>
  </r>
  <r>
    <s v="ORD-1252"/>
    <n v="4"/>
    <n v="13"/>
    <x v="1"/>
    <s v="West"/>
    <x v="1"/>
    <x v="1"/>
    <n v="4"/>
    <n v="3788.4"/>
    <n v="342.16"/>
  </r>
  <r>
    <s v="ORD-1253"/>
    <n v="11"/>
    <n v="22"/>
    <x v="0"/>
    <s v="Central"/>
    <x v="1"/>
    <x v="10"/>
    <n v="2"/>
    <n v="644.26"/>
    <n v="129.1"/>
  </r>
  <r>
    <s v="ORD-1254"/>
    <n v="5"/>
    <n v="21"/>
    <x v="0"/>
    <s v="West"/>
    <x v="0"/>
    <x v="9"/>
    <n v="2"/>
    <n v="2477.16"/>
    <n v="174.3"/>
  </r>
  <r>
    <s v="ORD-1255"/>
    <n v="8"/>
    <n v="12"/>
    <x v="0"/>
    <s v="East"/>
    <x v="2"/>
    <x v="7"/>
    <n v="9"/>
    <n v="753.48"/>
    <n v="42.32"/>
  </r>
  <r>
    <s v="ORD-1256"/>
    <n v="4"/>
    <n v="5"/>
    <x v="1"/>
    <s v="East"/>
    <x v="2"/>
    <x v="7"/>
    <n v="4"/>
    <n v="4057.24"/>
    <n v="402.26"/>
  </r>
  <r>
    <s v="ORD-1257"/>
    <n v="9"/>
    <n v="17"/>
    <x v="0"/>
    <s v="South"/>
    <x v="2"/>
    <x v="5"/>
    <n v="9"/>
    <n v="8178.03"/>
    <n v="1831.58"/>
  </r>
  <r>
    <s v="ORD-1258"/>
    <n v="4"/>
    <n v="18"/>
    <x v="0"/>
    <s v="South"/>
    <x v="2"/>
    <x v="3"/>
    <n v="7"/>
    <n v="8024.45"/>
    <n v="549.66999999999996"/>
  </r>
  <r>
    <s v="ORD-1259"/>
    <n v="12"/>
    <n v="16"/>
    <x v="0"/>
    <s v="Central"/>
    <x v="2"/>
    <x v="3"/>
    <n v="9"/>
    <n v="4461.84"/>
    <n v="905.09"/>
  </r>
  <r>
    <s v="ORD-1260"/>
    <n v="5"/>
    <n v="2"/>
    <x v="1"/>
    <s v="West"/>
    <x v="1"/>
    <x v="6"/>
    <n v="7"/>
    <n v="5049.8"/>
    <n v="1237.8"/>
  </r>
  <r>
    <s v="ORD-1261"/>
    <n v="4"/>
    <n v="2"/>
    <x v="1"/>
    <s v="West"/>
    <x v="2"/>
    <x v="4"/>
    <n v="4"/>
    <n v="3734.16"/>
    <n v="229.35"/>
  </r>
  <r>
    <s v="ORD-1262"/>
    <n v="6"/>
    <n v="12"/>
    <x v="0"/>
    <s v="South"/>
    <x v="0"/>
    <x v="0"/>
    <n v="1"/>
    <n v="932.77"/>
    <n v="69.58"/>
  </r>
  <r>
    <s v="ORD-1263"/>
    <n v="10"/>
    <n v="11"/>
    <x v="0"/>
    <s v="East"/>
    <x v="0"/>
    <x v="8"/>
    <n v="9"/>
    <n v="11506.86"/>
    <n v="2369.86"/>
  </r>
  <r>
    <s v="ORD-1264"/>
    <n v="9"/>
    <n v="21"/>
    <x v="0"/>
    <s v="Central"/>
    <x v="2"/>
    <x v="3"/>
    <n v="1"/>
    <n v="374.83"/>
    <n v="35.11"/>
  </r>
  <r>
    <s v="ORD-1265"/>
    <n v="5"/>
    <n v="26"/>
    <x v="1"/>
    <s v="West"/>
    <x v="2"/>
    <x v="5"/>
    <n v="1"/>
    <n v="351.43"/>
    <n v="67.47"/>
  </r>
  <r>
    <s v="ORD-1266"/>
    <n v="8"/>
    <n v="19"/>
    <x v="0"/>
    <s v="East"/>
    <x v="1"/>
    <x v="1"/>
    <n v="8"/>
    <n v="2526.8000000000002"/>
    <n v="572.39"/>
  </r>
  <r>
    <s v="ORD-1267"/>
    <n v="6"/>
    <n v="2"/>
    <x v="1"/>
    <s v="West"/>
    <x v="1"/>
    <x v="1"/>
    <n v="9"/>
    <n v="3881.97"/>
    <n v="848.05"/>
  </r>
  <r>
    <s v="ORD-1268"/>
    <n v="5"/>
    <n v="26"/>
    <x v="0"/>
    <s v="East"/>
    <x v="2"/>
    <x v="4"/>
    <n v="4"/>
    <n v="2038.48"/>
    <n v="362.14"/>
  </r>
  <r>
    <s v="ORD-1269"/>
    <n v="6"/>
    <n v="22"/>
    <x v="1"/>
    <s v="Central"/>
    <x v="2"/>
    <x v="4"/>
    <n v="4"/>
    <n v="4578.8"/>
    <n v="999.22"/>
  </r>
  <r>
    <s v="ORD-1270"/>
    <n v="5"/>
    <n v="3"/>
    <x v="1"/>
    <s v="East"/>
    <x v="2"/>
    <x v="7"/>
    <n v="2"/>
    <n v="1640.44"/>
    <n v="270.67"/>
  </r>
  <r>
    <s v="ORD-1271"/>
    <n v="11"/>
    <n v="3"/>
    <x v="1"/>
    <s v="West"/>
    <x v="2"/>
    <x v="4"/>
    <n v="4"/>
    <n v="2737.92"/>
    <n v="540.16999999999996"/>
  </r>
  <r>
    <s v="ORD-1272"/>
    <n v="12"/>
    <n v="6"/>
    <x v="1"/>
    <s v="Central"/>
    <x v="2"/>
    <x v="5"/>
    <n v="4"/>
    <n v="5935.28"/>
    <n v="548.36"/>
  </r>
  <r>
    <s v="ORD-1273"/>
    <n v="9"/>
    <n v="23"/>
    <x v="0"/>
    <s v="Central"/>
    <x v="0"/>
    <x v="8"/>
    <n v="8"/>
    <n v="7512.48"/>
    <n v="1730.72"/>
  </r>
  <r>
    <s v="ORD-1274"/>
    <n v="3"/>
    <n v="24"/>
    <x v="1"/>
    <s v="West"/>
    <x v="0"/>
    <x v="8"/>
    <n v="3"/>
    <n v="3590.46"/>
    <n v="692.78"/>
  </r>
  <r>
    <s v="ORD-1275"/>
    <n v="12"/>
    <n v="31"/>
    <x v="1"/>
    <s v="South"/>
    <x v="2"/>
    <x v="7"/>
    <n v="8"/>
    <n v="11622.24"/>
    <n v="745.71"/>
  </r>
  <r>
    <s v="ORD-1276"/>
    <n v="5"/>
    <n v="22"/>
    <x v="0"/>
    <s v="East"/>
    <x v="0"/>
    <x v="2"/>
    <n v="6"/>
    <n v="288.54000000000002"/>
    <n v="21.59"/>
  </r>
  <r>
    <s v="ORD-1277"/>
    <n v="11"/>
    <n v="13"/>
    <x v="1"/>
    <s v="East"/>
    <x v="2"/>
    <x v="7"/>
    <n v="8"/>
    <n v="3729.28"/>
    <n v="475.23"/>
  </r>
  <r>
    <s v="ORD-1278"/>
    <n v="2"/>
    <n v="11"/>
    <x v="1"/>
    <s v="Central"/>
    <x v="2"/>
    <x v="5"/>
    <n v="2"/>
    <n v="743.84"/>
    <n v="114.89"/>
  </r>
  <r>
    <s v="ORD-1279"/>
    <n v="1"/>
    <n v="15"/>
    <x v="0"/>
    <s v="West"/>
    <x v="0"/>
    <x v="8"/>
    <n v="2"/>
    <n v="2622.8"/>
    <n v="327.08999999999997"/>
  </r>
  <r>
    <s v="ORD-1280"/>
    <n v="2"/>
    <n v="26"/>
    <x v="1"/>
    <s v="South"/>
    <x v="0"/>
    <x v="8"/>
    <n v="9"/>
    <n v="6896.52"/>
    <n v="1515.09"/>
  </r>
  <r>
    <s v="ORD-1281"/>
    <n v="6"/>
    <n v="10"/>
    <x v="1"/>
    <s v="Central"/>
    <x v="2"/>
    <x v="4"/>
    <n v="7"/>
    <n v="8331.5400000000009"/>
    <n v="1304.5999999999999"/>
  </r>
  <r>
    <s v="ORD-1282"/>
    <n v="10"/>
    <n v="10"/>
    <x v="0"/>
    <s v="West"/>
    <x v="1"/>
    <x v="10"/>
    <n v="4"/>
    <n v="1635.04"/>
    <n v="275.98"/>
  </r>
  <r>
    <s v="ORD-1283"/>
    <n v="9"/>
    <n v="2"/>
    <x v="1"/>
    <s v="Central"/>
    <x v="1"/>
    <x v="1"/>
    <n v="8"/>
    <n v="5268.24"/>
    <n v="595.41"/>
  </r>
  <r>
    <s v="ORD-1284"/>
    <n v="12"/>
    <n v="29"/>
    <x v="1"/>
    <s v="East"/>
    <x v="0"/>
    <x v="0"/>
    <n v="8"/>
    <n v="7121.12"/>
    <n v="2055.46"/>
  </r>
  <r>
    <s v="ORD-1285"/>
    <n v="9"/>
    <n v="29"/>
    <x v="0"/>
    <s v="Central"/>
    <x v="0"/>
    <x v="8"/>
    <n v="4"/>
    <n v="497.32"/>
    <n v="142.12"/>
  </r>
  <r>
    <s v="ORD-1286"/>
    <n v="3"/>
    <n v="5"/>
    <x v="0"/>
    <s v="West"/>
    <x v="0"/>
    <x v="0"/>
    <n v="3"/>
    <n v="1536.18"/>
    <n v="360.98"/>
  </r>
  <r>
    <s v="ORD-1287"/>
    <n v="4"/>
    <n v="8"/>
    <x v="0"/>
    <s v="West"/>
    <x v="2"/>
    <x v="5"/>
    <n v="1"/>
    <n v="1270.6500000000001"/>
    <n v="178.63"/>
  </r>
  <r>
    <s v="ORD-1288"/>
    <n v="11"/>
    <n v="17"/>
    <x v="1"/>
    <s v="East"/>
    <x v="0"/>
    <x v="8"/>
    <n v="3"/>
    <n v="808.5"/>
    <n v="180.8"/>
  </r>
  <r>
    <s v="ORD-1289"/>
    <n v="6"/>
    <n v="5"/>
    <x v="0"/>
    <s v="South"/>
    <x v="2"/>
    <x v="7"/>
    <n v="7"/>
    <n v="4114.18"/>
    <n v="324.39999999999998"/>
  </r>
  <r>
    <s v="ORD-1290"/>
    <n v="7"/>
    <n v="23"/>
    <x v="1"/>
    <s v="East"/>
    <x v="1"/>
    <x v="1"/>
    <n v="8"/>
    <n v="4975.04"/>
    <n v="630.61"/>
  </r>
  <r>
    <s v="ORD-1291"/>
    <n v="6"/>
    <n v="3"/>
    <x v="0"/>
    <s v="West"/>
    <x v="1"/>
    <x v="6"/>
    <n v="9"/>
    <n v="5833.26"/>
    <n v="1744.92"/>
  </r>
  <r>
    <s v="ORD-1292"/>
    <n v="9"/>
    <n v="16"/>
    <x v="1"/>
    <s v="West"/>
    <x v="0"/>
    <x v="8"/>
    <n v="1"/>
    <n v="1487.62"/>
    <n v="263.64"/>
  </r>
  <r>
    <s v="ORD-1293"/>
    <n v="3"/>
    <n v="17"/>
    <x v="1"/>
    <s v="West"/>
    <x v="1"/>
    <x v="11"/>
    <n v="4"/>
    <n v="2223.36"/>
    <n v="630.30999999999995"/>
  </r>
  <r>
    <s v="ORD-1294"/>
    <n v="1"/>
    <n v="9"/>
    <x v="0"/>
    <s v="East"/>
    <x v="1"/>
    <x v="1"/>
    <n v="8"/>
    <n v="632.96"/>
    <n v="67.48"/>
  </r>
  <r>
    <s v="ORD-1295"/>
    <n v="1"/>
    <n v="1"/>
    <x v="1"/>
    <s v="East"/>
    <x v="2"/>
    <x v="7"/>
    <n v="7"/>
    <n v="2894.5"/>
    <n v="462.67"/>
  </r>
  <r>
    <s v="ORD-1296"/>
    <n v="8"/>
    <n v="31"/>
    <x v="1"/>
    <s v="Central"/>
    <x v="1"/>
    <x v="1"/>
    <n v="9"/>
    <n v="3711.33"/>
    <n v="565.75"/>
  </r>
  <r>
    <s v="ORD-1297"/>
    <n v="6"/>
    <n v="25"/>
    <x v="1"/>
    <s v="East"/>
    <x v="0"/>
    <x v="9"/>
    <n v="2"/>
    <n v="127.62"/>
    <n v="21.57"/>
  </r>
  <r>
    <s v="ORD-1298"/>
    <n v="8"/>
    <n v="20"/>
    <x v="0"/>
    <s v="West"/>
    <x v="2"/>
    <x v="4"/>
    <n v="6"/>
    <n v="2955.72"/>
    <n v="354.52"/>
  </r>
  <r>
    <s v="ORD-1299"/>
    <n v="5"/>
    <n v="2"/>
    <x v="0"/>
    <s v="South"/>
    <x v="2"/>
    <x v="4"/>
    <n v="9"/>
    <n v="2420.1"/>
    <n v="175.85"/>
  </r>
  <r>
    <s v="ORD-1300"/>
    <n v="5"/>
    <n v="7"/>
    <x v="0"/>
    <s v="Central"/>
    <x v="1"/>
    <x v="10"/>
    <n v="5"/>
    <n v="1539.35"/>
    <n v="293.16000000000003"/>
  </r>
  <r>
    <s v="ORD-1301"/>
    <n v="12"/>
    <n v="12"/>
    <x v="1"/>
    <s v="South"/>
    <x v="0"/>
    <x v="9"/>
    <n v="4"/>
    <n v="3454.24"/>
    <n v="743.91"/>
  </r>
  <r>
    <s v="ORD-1302"/>
    <n v="7"/>
    <n v="8"/>
    <x v="0"/>
    <s v="South"/>
    <x v="2"/>
    <x v="4"/>
    <n v="4"/>
    <n v="1163.68"/>
    <n v="180.7"/>
  </r>
  <r>
    <s v="ORD-1303"/>
    <n v="4"/>
    <n v="30"/>
    <x v="1"/>
    <s v="West"/>
    <x v="1"/>
    <x v="11"/>
    <n v="9"/>
    <n v="10696.86"/>
    <n v="2944.12"/>
  </r>
  <r>
    <s v="ORD-1304"/>
    <n v="5"/>
    <n v="25"/>
    <x v="1"/>
    <s v="West"/>
    <x v="0"/>
    <x v="0"/>
    <n v="5"/>
    <n v="2952.35"/>
    <n v="883.83"/>
  </r>
  <r>
    <s v="ORD-1305"/>
    <n v="11"/>
    <n v="13"/>
    <x v="0"/>
    <s v="South"/>
    <x v="0"/>
    <x v="8"/>
    <n v="6"/>
    <n v="5184.4799999999996"/>
    <n v="299.75"/>
  </r>
  <r>
    <s v="ORD-1306"/>
    <n v="11"/>
    <n v="2"/>
    <x v="1"/>
    <s v="Central"/>
    <x v="1"/>
    <x v="10"/>
    <n v="6"/>
    <n v="6947.16"/>
    <n v="447.37"/>
  </r>
  <r>
    <s v="ORD-1307"/>
    <n v="7"/>
    <n v="22"/>
    <x v="1"/>
    <s v="South"/>
    <x v="1"/>
    <x v="11"/>
    <n v="6"/>
    <n v="1507.8"/>
    <n v="178.18"/>
  </r>
  <r>
    <s v="ORD-1308"/>
    <n v="2"/>
    <n v="25"/>
    <x v="1"/>
    <s v="South"/>
    <x v="2"/>
    <x v="7"/>
    <n v="5"/>
    <n v="6357.6"/>
    <n v="1759.44"/>
  </r>
  <r>
    <s v="ORD-1309"/>
    <n v="8"/>
    <n v="15"/>
    <x v="0"/>
    <s v="West"/>
    <x v="2"/>
    <x v="7"/>
    <n v="7"/>
    <n v="3125.01"/>
    <n v="652.62"/>
  </r>
  <r>
    <s v="ORD-1310"/>
    <n v="2"/>
    <n v="5"/>
    <x v="1"/>
    <s v="East"/>
    <x v="0"/>
    <x v="0"/>
    <n v="6"/>
    <n v="1493.52"/>
    <n v="428.85"/>
  </r>
  <r>
    <s v="ORD-1311"/>
    <n v="9"/>
    <n v="6"/>
    <x v="1"/>
    <s v="South"/>
    <x v="1"/>
    <x v="11"/>
    <n v="9"/>
    <n v="11597.94"/>
    <n v="841.92"/>
  </r>
  <r>
    <s v="ORD-1312"/>
    <n v="8"/>
    <n v="30"/>
    <x v="1"/>
    <s v="West"/>
    <x v="1"/>
    <x v="6"/>
    <n v="3"/>
    <n v="2222.0100000000002"/>
    <n v="233.14"/>
  </r>
  <r>
    <s v="ORD-1313"/>
    <n v="8"/>
    <n v="12"/>
    <x v="1"/>
    <s v="South"/>
    <x v="2"/>
    <x v="3"/>
    <n v="4"/>
    <n v="1353.56"/>
    <n v="109.22"/>
  </r>
  <r>
    <s v="ORD-1314"/>
    <n v="8"/>
    <n v="21"/>
    <x v="0"/>
    <s v="West"/>
    <x v="0"/>
    <x v="0"/>
    <n v="8"/>
    <n v="1753.68"/>
    <n v="123.15"/>
  </r>
  <r>
    <s v="ORD-1315"/>
    <n v="8"/>
    <n v="3"/>
    <x v="1"/>
    <s v="West"/>
    <x v="1"/>
    <x v="10"/>
    <n v="3"/>
    <n v="1861.68"/>
    <n v="438.91"/>
  </r>
  <r>
    <s v="ORD-1316"/>
    <n v="9"/>
    <n v="10"/>
    <x v="1"/>
    <s v="West"/>
    <x v="1"/>
    <x v="1"/>
    <n v="2"/>
    <n v="1976.68"/>
    <n v="155.49"/>
  </r>
  <r>
    <s v="ORD-1317"/>
    <n v="6"/>
    <n v="28"/>
    <x v="1"/>
    <s v="East"/>
    <x v="2"/>
    <x v="7"/>
    <n v="5"/>
    <n v="5369.45"/>
    <n v="777.45"/>
  </r>
  <r>
    <s v="ORD-1318"/>
    <n v="2"/>
    <n v="17"/>
    <x v="0"/>
    <s v="South"/>
    <x v="2"/>
    <x v="5"/>
    <n v="5"/>
    <n v="2681.95"/>
    <n v="552.01"/>
  </r>
  <r>
    <s v="ORD-1319"/>
    <n v="2"/>
    <n v="6"/>
    <x v="1"/>
    <s v="Central"/>
    <x v="2"/>
    <x v="5"/>
    <n v="8"/>
    <n v="9643.6"/>
    <n v="783.12"/>
  </r>
  <r>
    <s v="ORD-1320"/>
    <n v="3"/>
    <n v="30"/>
    <x v="0"/>
    <s v="Central"/>
    <x v="2"/>
    <x v="4"/>
    <n v="9"/>
    <n v="8156.34"/>
    <n v="475.97"/>
  </r>
  <r>
    <s v="ORD-1321"/>
    <n v="6"/>
    <n v="21"/>
    <x v="1"/>
    <s v="Central"/>
    <x v="0"/>
    <x v="0"/>
    <n v="9"/>
    <n v="3121.2"/>
    <n v="812.96"/>
  </r>
  <r>
    <s v="ORD-1322"/>
    <n v="3"/>
    <n v="10"/>
    <x v="1"/>
    <s v="West"/>
    <x v="2"/>
    <x v="5"/>
    <n v="1"/>
    <n v="70.13"/>
    <n v="14.86"/>
  </r>
  <r>
    <s v="ORD-1323"/>
    <n v="4"/>
    <n v="12"/>
    <x v="0"/>
    <s v="South"/>
    <x v="1"/>
    <x v="10"/>
    <n v="5"/>
    <n v="4650.3"/>
    <n v="1224.44"/>
  </r>
  <r>
    <s v="ORD-1324"/>
    <n v="11"/>
    <n v="29"/>
    <x v="1"/>
    <s v="West"/>
    <x v="0"/>
    <x v="2"/>
    <n v="1"/>
    <n v="586.30999999999995"/>
    <n v="153.5"/>
  </r>
  <r>
    <s v="ORD-1325"/>
    <n v="12"/>
    <n v="15"/>
    <x v="1"/>
    <s v="South"/>
    <x v="1"/>
    <x v="10"/>
    <n v="7"/>
    <n v="10484.74"/>
    <n v="2614.8200000000002"/>
  </r>
  <r>
    <s v="ORD-1326"/>
    <n v="7"/>
    <n v="28"/>
    <x v="0"/>
    <s v="West"/>
    <x v="0"/>
    <x v="8"/>
    <n v="1"/>
    <n v="959.59"/>
    <n v="114.1"/>
  </r>
  <r>
    <s v="ORD-1327"/>
    <n v="7"/>
    <n v="7"/>
    <x v="1"/>
    <s v="Central"/>
    <x v="1"/>
    <x v="1"/>
    <n v="5"/>
    <n v="747.5"/>
    <n v="144.25"/>
  </r>
  <r>
    <s v="ORD-1328"/>
    <n v="1"/>
    <n v="8"/>
    <x v="1"/>
    <s v="West"/>
    <x v="2"/>
    <x v="3"/>
    <n v="5"/>
    <n v="3255.45"/>
    <n v="190.41"/>
  </r>
  <r>
    <s v="ORD-1329"/>
    <n v="2"/>
    <n v="1"/>
    <x v="1"/>
    <s v="South"/>
    <x v="1"/>
    <x v="6"/>
    <n v="4"/>
    <n v="5028.28"/>
    <n v="775.52"/>
  </r>
  <r>
    <s v="ORD-1330"/>
    <n v="12"/>
    <n v="2"/>
    <x v="0"/>
    <s v="South"/>
    <x v="0"/>
    <x v="9"/>
    <n v="1"/>
    <n v="111.14"/>
    <n v="12.41"/>
  </r>
  <r>
    <s v="ORD-1331"/>
    <n v="4"/>
    <n v="1"/>
    <x v="1"/>
    <s v="West"/>
    <x v="1"/>
    <x v="11"/>
    <n v="4"/>
    <n v="4533.2"/>
    <n v="423.49"/>
  </r>
  <r>
    <s v="ORD-1332"/>
    <n v="6"/>
    <n v="2"/>
    <x v="0"/>
    <s v="Central"/>
    <x v="2"/>
    <x v="7"/>
    <n v="4"/>
    <n v="4204.3999999999996"/>
    <n v="318.55"/>
  </r>
  <r>
    <s v="ORD-1333"/>
    <n v="8"/>
    <n v="29"/>
    <x v="0"/>
    <s v="East"/>
    <x v="1"/>
    <x v="10"/>
    <n v="5"/>
    <n v="6338.1"/>
    <n v="334.25"/>
  </r>
  <r>
    <s v="ORD-1334"/>
    <n v="12"/>
    <n v="14"/>
    <x v="0"/>
    <s v="West"/>
    <x v="0"/>
    <x v="2"/>
    <n v="2"/>
    <n v="140.84"/>
    <n v="28.9"/>
  </r>
  <r>
    <s v="ORD-1335"/>
    <n v="8"/>
    <n v="12"/>
    <x v="0"/>
    <s v="Central"/>
    <x v="1"/>
    <x v="6"/>
    <n v="3"/>
    <n v="3507.93"/>
    <n v="990.52"/>
  </r>
  <r>
    <s v="ORD-1336"/>
    <n v="8"/>
    <n v="3"/>
    <x v="0"/>
    <s v="West"/>
    <x v="1"/>
    <x v="11"/>
    <n v="6"/>
    <n v="3058.56"/>
    <n v="489.57"/>
  </r>
  <r>
    <s v="ORD-1337"/>
    <n v="12"/>
    <n v="7"/>
    <x v="1"/>
    <s v="West"/>
    <x v="1"/>
    <x v="10"/>
    <n v="9"/>
    <n v="3445.56"/>
    <n v="1006.93"/>
  </r>
  <r>
    <s v="ORD-1338"/>
    <n v="9"/>
    <n v="12"/>
    <x v="0"/>
    <s v="East"/>
    <x v="2"/>
    <x v="4"/>
    <n v="7"/>
    <n v="261.66000000000003"/>
    <n v="44.49"/>
  </r>
  <r>
    <s v="ORD-1339"/>
    <n v="7"/>
    <n v="10"/>
    <x v="0"/>
    <s v="Central"/>
    <x v="2"/>
    <x v="7"/>
    <n v="9"/>
    <n v="6148.71"/>
    <n v="1454.65"/>
  </r>
  <r>
    <s v="ORD-1340"/>
    <n v="1"/>
    <n v="23"/>
    <x v="1"/>
    <s v="East"/>
    <x v="2"/>
    <x v="3"/>
    <n v="7"/>
    <n v="8850.73"/>
    <n v="1637.42"/>
  </r>
  <r>
    <s v="ORD-1341"/>
    <n v="8"/>
    <n v="30"/>
    <x v="0"/>
    <s v="Central"/>
    <x v="2"/>
    <x v="4"/>
    <n v="4"/>
    <n v="5232.68"/>
    <n v="717.43"/>
  </r>
  <r>
    <s v="ORD-1342"/>
    <n v="4"/>
    <n v="25"/>
    <x v="1"/>
    <s v="Central"/>
    <x v="2"/>
    <x v="3"/>
    <n v="6"/>
    <n v="3474.3"/>
    <n v="583.66"/>
  </r>
  <r>
    <s v="ORD-1343"/>
    <n v="11"/>
    <n v="24"/>
    <x v="0"/>
    <s v="South"/>
    <x v="2"/>
    <x v="5"/>
    <n v="4"/>
    <n v="2491.84"/>
    <n v="136.58000000000001"/>
  </r>
  <r>
    <s v="ORD-1344"/>
    <n v="11"/>
    <n v="21"/>
    <x v="1"/>
    <s v="Central"/>
    <x v="0"/>
    <x v="0"/>
    <n v="7"/>
    <n v="8562.4699999999993"/>
    <n v="1843.55"/>
  </r>
  <r>
    <s v="ORD-1345"/>
    <n v="8"/>
    <n v="23"/>
    <x v="0"/>
    <s v="Central"/>
    <x v="2"/>
    <x v="5"/>
    <n v="8"/>
    <n v="1309.5999999999999"/>
    <n v="249.68"/>
  </r>
  <r>
    <s v="ORD-1346"/>
    <n v="8"/>
    <n v="18"/>
    <x v="0"/>
    <s v="South"/>
    <x v="2"/>
    <x v="5"/>
    <n v="5"/>
    <n v="2782.7"/>
    <n v="189.84"/>
  </r>
  <r>
    <s v="ORD-1347"/>
    <n v="6"/>
    <n v="11"/>
    <x v="1"/>
    <s v="East"/>
    <x v="1"/>
    <x v="11"/>
    <n v="6"/>
    <n v="2566.14"/>
    <n v="751.56"/>
  </r>
  <r>
    <s v="ORD-1348"/>
    <n v="9"/>
    <n v="21"/>
    <x v="0"/>
    <s v="West"/>
    <x v="2"/>
    <x v="3"/>
    <n v="3"/>
    <n v="424.68"/>
    <n v="101.35"/>
  </r>
  <r>
    <s v="ORD-1349"/>
    <n v="3"/>
    <n v="23"/>
    <x v="0"/>
    <s v="East"/>
    <x v="2"/>
    <x v="3"/>
    <n v="8"/>
    <n v="219.76"/>
    <n v="34.15999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-1000"/>
    <x v="0"/>
    <n v="15"/>
    <n v="2023"/>
    <s v="Central"/>
    <s v="Office Supplies"/>
    <s v="Notepad"/>
    <n v="7"/>
    <n v="9993.6200000000008"/>
    <n v="1472.05"/>
    <s v="15/4/2023"/>
    <x v="0"/>
    <n v="1905"/>
  </r>
  <r>
    <s v="ORD-1001"/>
    <x v="1"/>
    <n v="3"/>
    <n v="2022"/>
    <s v="South"/>
    <s v="Office Supplies"/>
    <s v="Notepad"/>
    <n v="6"/>
    <n v="8489.16"/>
    <n v="1311.49"/>
    <s v="3/11/2022"/>
    <x v="1"/>
    <n v="1905"/>
  </r>
  <r>
    <s v="ORD-1002"/>
    <x v="0"/>
    <n v="26"/>
    <n v="2022"/>
    <s v="South"/>
    <s v="Furniture"/>
    <s v="Bookcase"/>
    <n v="3"/>
    <n v="4007.79"/>
    <n v="993.8"/>
    <s v="26/4/2022"/>
    <x v="0"/>
    <n v="1905"/>
  </r>
  <r>
    <s v="ORD-1003"/>
    <x v="1"/>
    <n v="11"/>
    <n v="2022"/>
    <s v="East"/>
    <s v="Furniture"/>
    <s v="Bookcase"/>
    <n v="6"/>
    <n v="92.4"/>
    <n v="12.32"/>
    <s v="11/11/2022"/>
    <x v="1"/>
    <n v="1905"/>
  </r>
  <r>
    <s v="ORD-1004"/>
    <x v="2"/>
    <n v="21"/>
    <n v="2023"/>
    <s v="West"/>
    <s v="Office Supplies"/>
    <s v="Stapler"/>
    <n v="3"/>
    <n v="2122.59"/>
    <n v="138.47999999999999"/>
    <s v="21/5/2023"/>
    <x v="2"/>
    <n v="1905"/>
  </r>
  <r>
    <s v="ORD-1005"/>
    <x v="3"/>
    <n v="13"/>
    <n v="2023"/>
    <s v="East"/>
    <s v="Technology"/>
    <s v="Printer"/>
    <n v="7"/>
    <n v="638.47"/>
    <n v="71.58"/>
    <s v="13/12/2023"/>
    <x v="3"/>
    <n v="1905"/>
  </r>
  <r>
    <s v="ORD-1006"/>
    <x v="3"/>
    <n v="19"/>
    <n v="2023"/>
    <s v="East"/>
    <s v="Technology"/>
    <s v="Keyboard"/>
    <n v="9"/>
    <n v="604.79999999999995"/>
    <n v="56.58"/>
    <s v="19/12/2023"/>
    <x v="3"/>
    <n v="1905"/>
  </r>
  <r>
    <s v="ORD-1007"/>
    <x v="2"/>
    <n v="17"/>
    <n v="2022"/>
    <s v="East"/>
    <s v="Technology"/>
    <s v="Laptop"/>
    <n v="7"/>
    <n v="2396.66"/>
    <n v="150.66"/>
    <s v="17/5/2022"/>
    <x v="2"/>
    <n v="1905"/>
  </r>
  <r>
    <s v="ORD-1008"/>
    <x v="4"/>
    <n v="1"/>
    <n v="2023"/>
    <s v="South"/>
    <s v="Technology"/>
    <s v="Keyboard"/>
    <n v="3"/>
    <n v="2725.65"/>
    <n v="696.8"/>
    <s v="1/3/2023"/>
    <x v="4"/>
    <n v="1905"/>
  </r>
  <r>
    <s v="ORD-1009"/>
    <x v="5"/>
    <n v="15"/>
    <n v="2023"/>
    <s v="Central"/>
    <s v="Furniture"/>
    <s v="Filing Cabinet"/>
    <n v="9"/>
    <n v="6337.71"/>
    <n v="373.46"/>
    <s v="15/1/2023"/>
    <x v="5"/>
    <n v="1905"/>
  </r>
  <r>
    <s v="ORD-1010"/>
    <x v="5"/>
    <n v="28"/>
    <n v="2022"/>
    <s v="South"/>
    <s v="Technology"/>
    <s v="Monitor"/>
    <n v="8"/>
    <n v="7168.72"/>
    <n v="1787.88"/>
    <s v="28/1/2022"/>
    <x v="5"/>
    <n v="1905"/>
  </r>
  <r>
    <s v="ORD-1011"/>
    <x v="1"/>
    <n v="30"/>
    <n v="2023"/>
    <s v="East"/>
    <s v="Furniture"/>
    <s v="Bookcase"/>
    <n v="9"/>
    <n v="7845.57"/>
    <n v="579.34"/>
    <s v="30/11/2023"/>
    <x v="1"/>
    <n v="1905"/>
  </r>
  <r>
    <s v="ORD-1012"/>
    <x v="6"/>
    <n v="7"/>
    <n v="2022"/>
    <s v="East"/>
    <s v="Technology"/>
    <s v="Printer"/>
    <n v="1"/>
    <n v="397.33"/>
    <n v="101.56"/>
    <s v="7/6/2022"/>
    <x v="6"/>
    <n v="1905"/>
  </r>
  <r>
    <s v="ORD-1013"/>
    <x v="0"/>
    <n v="28"/>
    <n v="2023"/>
    <s v="South"/>
    <s v="Technology"/>
    <s v="Printer"/>
    <n v="4"/>
    <n v="3073.48"/>
    <n v="586.37"/>
    <s v="28/4/2023"/>
    <x v="0"/>
    <n v="1905"/>
  </r>
  <r>
    <s v="ORD-1014"/>
    <x v="7"/>
    <n v="12"/>
    <n v="2023"/>
    <s v="South"/>
    <s v="Office Supplies"/>
    <s v="Pen"/>
    <n v="2"/>
    <n v="57.24"/>
    <n v="4.9800000000000004"/>
    <s v="12/8/2023"/>
    <x v="7"/>
    <n v="1905"/>
  </r>
  <r>
    <s v="ORD-1015"/>
    <x v="8"/>
    <n v="17"/>
    <n v="2022"/>
    <s v="South"/>
    <s v="Office Supplies"/>
    <s v="Notepad"/>
    <n v="9"/>
    <n v="2939.22"/>
    <n v="264.91000000000003"/>
    <s v="17/2/2022"/>
    <x v="8"/>
    <n v="1905"/>
  </r>
  <r>
    <s v="ORD-1016"/>
    <x v="9"/>
    <n v="7"/>
    <n v="2023"/>
    <s v="Central"/>
    <s v="Furniture"/>
    <s v="Bookcase"/>
    <n v="1"/>
    <n v="1119.2"/>
    <n v="67.06"/>
    <s v="7/10/2023"/>
    <x v="9"/>
    <n v="1905"/>
  </r>
  <r>
    <s v="ORD-1017"/>
    <x v="3"/>
    <n v="8"/>
    <n v="2023"/>
    <s v="South"/>
    <s v="Office Supplies"/>
    <s v="Stapler"/>
    <n v="6"/>
    <n v="1794.3"/>
    <n v="431.97"/>
    <s v="8/12/2023"/>
    <x v="3"/>
    <n v="1905"/>
  </r>
  <r>
    <s v="ORD-1018"/>
    <x v="3"/>
    <n v="7"/>
    <n v="2023"/>
    <s v="South"/>
    <s v="Office Supplies"/>
    <s v="Notepad"/>
    <n v="1"/>
    <n v="361.9"/>
    <n v="53.27"/>
    <s v="7/12/2023"/>
    <x v="3"/>
    <n v="1905"/>
  </r>
  <r>
    <s v="ORD-1019"/>
    <x v="0"/>
    <n v="14"/>
    <n v="2023"/>
    <s v="West"/>
    <s v="Furniture"/>
    <s v="Bookcase"/>
    <n v="6"/>
    <n v="1065.5999999999999"/>
    <n v="166.71"/>
    <s v="14/4/2023"/>
    <x v="0"/>
    <n v="1905"/>
  </r>
  <r>
    <s v="ORD-1020"/>
    <x v="3"/>
    <n v="2"/>
    <n v="2023"/>
    <s v="South"/>
    <s v="Technology"/>
    <s v="Printer"/>
    <n v="9"/>
    <n v="6368.31"/>
    <n v="999.02"/>
    <s v="2/12/2023"/>
    <x v="3"/>
    <n v="1905"/>
  </r>
  <r>
    <s v="ORD-1021"/>
    <x v="10"/>
    <n v="6"/>
    <n v="2022"/>
    <s v="South"/>
    <s v="Technology"/>
    <s v="Monitor"/>
    <n v="6"/>
    <n v="6682.92"/>
    <n v="1552.08"/>
    <s v="6/7/2022"/>
    <x v="10"/>
    <n v="1905"/>
  </r>
  <r>
    <s v="ORD-1022"/>
    <x v="9"/>
    <n v="24"/>
    <n v="2022"/>
    <s v="Central"/>
    <s v="Technology"/>
    <s v="Monitor"/>
    <n v="1"/>
    <n v="773.68"/>
    <n v="66.010000000000005"/>
    <s v="24/10/2022"/>
    <x v="9"/>
    <n v="1905"/>
  </r>
  <r>
    <s v="ORD-1023"/>
    <x v="6"/>
    <n v="29"/>
    <n v="2022"/>
    <s v="South"/>
    <s v="Technology"/>
    <s v="Keyboard"/>
    <n v="7"/>
    <n v="9491.86"/>
    <n v="1543.2"/>
    <s v="29/6/2022"/>
    <x v="6"/>
    <n v="1905"/>
  </r>
  <r>
    <s v="ORD-1024"/>
    <x v="5"/>
    <n v="31"/>
    <n v="2022"/>
    <s v="West"/>
    <s v="Furniture"/>
    <s v="Bookcase"/>
    <n v="6"/>
    <n v="5969.46"/>
    <n v="1591.75"/>
    <s v="31/1/2022"/>
    <x v="5"/>
    <n v="1905"/>
  </r>
  <r>
    <s v="ORD-1025"/>
    <x v="10"/>
    <n v="20"/>
    <n v="2023"/>
    <s v="West"/>
    <s v="Office Supplies"/>
    <s v="Notepad"/>
    <n v="7"/>
    <n v="457.8"/>
    <n v="127.47"/>
    <s v="20/7/2023"/>
    <x v="10"/>
    <n v="1905"/>
  </r>
  <r>
    <s v="ORD-1026"/>
    <x v="5"/>
    <n v="6"/>
    <n v="2022"/>
    <s v="Central"/>
    <s v="Technology"/>
    <s v="Keyboard"/>
    <n v="8"/>
    <n v="1065.2"/>
    <n v="186.95"/>
    <s v="6/1/2022"/>
    <x v="5"/>
    <n v="1905"/>
  </r>
  <r>
    <s v="ORD-1027"/>
    <x v="0"/>
    <n v="14"/>
    <n v="2022"/>
    <s v="West"/>
    <s v="Office Supplies"/>
    <s v="Stapler"/>
    <n v="8"/>
    <n v="2883.36"/>
    <n v="434.46"/>
    <s v="14/4/2022"/>
    <x v="0"/>
    <n v="1905"/>
  </r>
  <r>
    <s v="ORD-1028"/>
    <x v="8"/>
    <n v="6"/>
    <n v="2022"/>
    <s v="Central"/>
    <s v="Technology"/>
    <s v="Laptop"/>
    <n v="3"/>
    <n v="210.57"/>
    <n v="17.32"/>
    <s v="6/2/2022"/>
    <x v="8"/>
    <n v="1905"/>
  </r>
  <r>
    <s v="ORD-1029"/>
    <x v="9"/>
    <n v="22"/>
    <n v="2022"/>
    <s v="East"/>
    <s v="Furniture"/>
    <s v="Bookcase"/>
    <n v="7"/>
    <n v="10140.969999999999"/>
    <n v="2601.46"/>
    <s v="22/10/2022"/>
    <x v="9"/>
    <n v="1905"/>
  </r>
  <r>
    <s v="ORD-1030"/>
    <x v="10"/>
    <n v="2"/>
    <n v="2023"/>
    <s v="Central"/>
    <s v="Furniture"/>
    <s v="Bookcase"/>
    <n v="3"/>
    <n v="3183.93"/>
    <n v="264.7"/>
    <s v="2/7/2023"/>
    <x v="10"/>
    <n v="1905"/>
  </r>
  <r>
    <s v="ORD-1031"/>
    <x v="3"/>
    <n v="23"/>
    <n v="2023"/>
    <s v="West"/>
    <s v="Office Supplies"/>
    <s v="Pen"/>
    <n v="7"/>
    <n v="8938.44"/>
    <n v="2594.62"/>
    <s v="23/12/2023"/>
    <x v="3"/>
    <n v="1905"/>
  </r>
  <r>
    <s v="ORD-1032"/>
    <x v="9"/>
    <n v="25"/>
    <n v="2022"/>
    <s v="South"/>
    <s v="Office Supplies"/>
    <s v="Notepad"/>
    <n v="3"/>
    <n v="1661.64"/>
    <n v="107.47"/>
    <s v="25/10/2022"/>
    <x v="9"/>
    <n v="1905"/>
  </r>
  <r>
    <s v="ORD-1033"/>
    <x v="7"/>
    <n v="29"/>
    <n v="2022"/>
    <s v="South"/>
    <s v="Office Supplies"/>
    <s v="Stapler"/>
    <n v="7"/>
    <n v="7794.43"/>
    <n v="1288.68"/>
    <s v="29/8/2022"/>
    <x v="7"/>
    <n v="1905"/>
  </r>
  <r>
    <s v="ORD-1034"/>
    <x v="5"/>
    <n v="2"/>
    <n v="2022"/>
    <s v="South"/>
    <s v="Office Supplies"/>
    <s v="Stapler"/>
    <n v="3"/>
    <n v="2204.25"/>
    <n v="653.41"/>
    <s v="2/1/2022"/>
    <x v="5"/>
    <n v="1905"/>
  </r>
  <r>
    <s v="ORD-1035"/>
    <x v="11"/>
    <n v="12"/>
    <n v="2022"/>
    <s v="West"/>
    <s v="Furniture"/>
    <s v="Bookcase"/>
    <n v="7"/>
    <n v="4718.7700000000004"/>
    <n v="767.98"/>
    <s v="12/9/2022"/>
    <x v="11"/>
    <n v="1905"/>
  </r>
  <r>
    <s v="ORD-1036"/>
    <x v="3"/>
    <n v="18"/>
    <n v="2022"/>
    <s v="South"/>
    <s v="Office Supplies"/>
    <s v="Stapler"/>
    <n v="2"/>
    <n v="881.78"/>
    <n v="117.42"/>
    <s v="18/12/2022"/>
    <x v="3"/>
    <n v="1905"/>
  </r>
  <r>
    <s v="ORD-1037"/>
    <x v="5"/>
    <n v="20"/>
    <n v="2022"/>
    <s v="Central"/>
    <s v="Office Supplies"/>
    <s v="Paper"/>
    <n v="2"/>
    <n v="1204.96"/>
    <n v="309.61"/>
    <s v="20/1/2022"/>
    <x v="5"/>
    <n v="1905"/>
  </r>
  <r>
    <s v="ORD-1038"/>
    <x v="2"/>
    <n v="6"/>
    <n v="2022"/>
    <s v="South"/>
    <s v="Office Supplies"/>
    <s v="Pen"/>
    <n v="7"/>
    <n v="855.68"/>
    <n v="131.38"/>
    <s v="6/5/2022"/>
    <x v="2"/>
    <n v="1905"/>
  </r>
  <r>
    <s v="ORD-1039"/>
    <x v="1"/>
    <n v="15"/>
    <n v="2022"/>
    <s v="West"/>
    <s v="Furniture"/>
    <s v="Bookcase"/>
    <n v="4"/>
    <n v="4188.12"/>
    <n v="914.55"/>
    <s v="15/11/2022"/>
    <x v="1"/>
    <n v="1905"/>
  </r>
  <r>
    <s v="ORD-1040"/>
    <x v="10"/>
    <n v="26"/>
    <n v="2022"/>
    <s v="East"/>
    <s v="Technology"/>
    <s v="Printer"/>
    <n v="5"/>
    <n v="4301.05"/>
    <n v="585.29999999999995"/>
    <s v="26/7/2022"/>
    <x v="10"/>
    <n v="1905"/>
  </r>
  <r>
    <s v="ORD-1041"/>
    <x v="8"/>
    <n v="24"/>
    <n v="2023"/>
    <s v="West"/>
    <s v="Office Supplies"/>
    <s v="Pen"/>
    <n v="7"/>
    <n v="9656.08"/>
    <n v="1459.32"/>
    <s v="24/2/2023"/>
    <x v="8"/>
    <n v="1905"/>
  </r>
  <r>
    <s v="ORD-1042"/>
    <x v="6"/>
    <n v="9"/>
    <n v="2023"/>
    <s v="Central"/>
    <s v="Office Supplies"/>
    <s v="Pen"/>
    <n v="2"/>
    <n v="1266.42"/>
    <n v="73.83"/>
    <s v="9/6/2023"/>
    <x v="6"/>
    <n v="1905"/>
  </r>
  <r>
    <s v="ORD-1043"/>
    <x v="10"/>
    <n v="2"/>
    <n v="2022"/>
    <s v="East"/>
    <s v="Technology"/>
    <s v="Laptop"/>
    <n v="1"/>
    <n v="630.19000000000005"/>
    <n v="78.31"/>
    <s v="2/7/2022"/>
    <x v="10"/>
    <n v="1905"/>
  </r>
  <r>
    <s v="ORD-1044"/>
    <x v="3"/>
    <n v="18"/>
    <n v="2023"/>
    <s v="East"/>
    <s v="Office Supplies"/>
    <s v="Pen"/>
    <n v="2"/>
    <n v="2499.38"/>
    <n v="317.33"/>
    <s v="18/12/2023"/>
    <x v="3"/>
    <n v="1905"/>
  </r>
  <r>
    <s v="ORD-1045"/>
    <x v="10"/>
    <n v="12"/>
    <n v="2022"/>
    <s v="East"/>
    <s v="Technology"/>
    <s v="Keyboard"/>
    <n v="4"/>
    <n v="5623.4"/>
    <n v="1233.6099999999999"/>
    <s v="12/7/2022"/>
    <x v="10"/>
    <n v="1905"/>
  </r>
  <r>
    <s v="ORD-1046"/>
    <x v="4"/>
    <n v="31"/>
    <n v="2023"/>
    <s v="South"/>
    <s v="Office Supplies"/>
    <s v="Paper"/>
    <n v="1"/>
    <n v="167.61"/>
    <n v="36.01"/>
    <s v="31/3/2023"/>
    <x v="4"/>
    <n v="1905"/>
  </r>
  <r>
    <s v="ORD-1047"/>
    <x v="7"/>
    <n v="7"/>
    <n v="2023"/>
    <s v="West"/>
    <s v="Furniture"/>
    <s v="Table"/>
    <n v="8"/>
    <n v="8869.2000000000007"/>
    <n v="1397.95"/>
    <s v="7/8/2023"/>
    <x v="7"/>
    <n v="1905"/>
  </r>
  <r>
    <s v="ORD-1048"/>
    <x v="0"/>
    <n v="30"/>
    <n v="2022"/>
    <s v="West"/>
    <s v="Technology"/>
    <s v="Keyboard"/>
    <n v="9"/>
    <n v="10036.89"/>
    <n v="988.5"/>
    <s v="30/4/2022"/>
    <x v="0"/>
    <n v="1905"/>
  </r>
  <r>
    <s v="ORD-1049"/>
    <x v="11"/>
    <n v="27"/>
    <n v="2023"/>
    <s v="Central"/>
    <s v="Office Supplies"/>
    <s v="Paper"/>
    <n v="7"/>
    <n v="6466.88"/>
    <n v="1526.03"/>
    <s v="27/9/2023"/>
    <x v="11"/>
    <n v="1905"/>
  </r>
  <r>
    <s v="ORD-1050"/>
    <x v="0"/>
    <n v="27"/>
    <n v="2023"/>
    <s v="South"/>
    <s v="Technology"/>
    <s v="Keyboard"/>
    <n v="9"/>
    <n v="1037.97"/>
    <n v="101.73"/>
    <s v="27/4/2023"/>
    <x v="0"/>
    <n v="1905"/>
  </r>
  <r>
    <s v="ORD-1051"/>
    <x v="5"/>
    <n v="26"/>
    <n v="2022"/>
    <s v="West"/>
    <s v="Technology"/>
    <s v="Laptop"/>
    <n v="9"/>
    <n v="10131.030000000001"/>
    <n v="746.46"/>
    <s v="26/1/2022"/>
    <x v="5"/>
    <n v="1905"/>
  </r>
  <r>
    <s v="ORD-1052"/>
    <x v="6"/>
    <n v="19"/>
    <n v="2022"/>
    <s v="East"/>
    <s v="Technology"/>
    <s v="Printer"/>
    <n v="2"/>
    <n v="206.84"/>
    <n v="27.93"/>
    <s v="19/6/2022"/>
    <x v="6"/>
    <n v="1905"/>
  </r>
  <r>
    <s v="ORD-1053"/>
    <x v="0"/>
    <n v="21"/>
    <n v="2023"/>
    <s v="Central"/>
    <s v="Technology"/>
    <s v="Monitor"/>
    <n v="2"/>
    <n v="2936.54"/>
    <n v="659.21"/>
    <s v="21/4/2023"/>
    <x v="0"/>
    <n v="1905"/>
  </r>
  <r>
    <s v="ORD-1054"/>
    <x v="6"/>
    <n v="2"/>
    <n v="2022"/>
    <s v="East"/>
    <s v="Technology"/>
    <s v="Monitor"/>
    <n v="6"/>
    <n v="7542.3"/>
    <n v="2069.56"/>
    <s v="2/6/2022"/>
    <x v="6"/>
    <n v="1905"/>
  </r>
  <r>
    <s v="ORD-1055"/>
    <x v="2"/>
    <n v="12"/>
    <n v="2023"/>
    <s v="Central"/>
    <s v="Furniture"/>
    <s v="Bookcase"/>
    <n v="8"/>
    <n v="705.04"/>
    <n v="91.97"/>
    <s v="12/5/2023"/>
    <x v="2"/>
    <n v="1905"/>
  </r>
  <r>
    <s v="ORD-1056"/>
    <x v="9"/>
    <n v="30"/>
    <n v="2022"/>
    <s v="West"/>
    <s v="Technology"/>
    <s v="Printer"/>
    <n v="8"/>
    <n v="3855.92"/>
    <n v="760.32"/>
    <s v="30/10/2022"/>
    <x v="9"/>
    <n v="1905"/>
  </r>
  <r>
    <s v="ORD-1057"/>
    <x v="1"/>
    <n v="11"/>
    <n v="2022"/>
    <s v="South"/>
    <s v="Technology"/>
    <s v="Printer"/>
    <n v="1"/>
    <n v="823.27"/>
    <n v="77.27"/>
    <s v="11/11/2022"/>
    <x v="1"/>
    <n v="1905"/>
  </r>
  <r>
    <s v="ORD-1058"/>
    <x v="5"/>
    <n v="23"/>
    <n v="2023"/>
    <s v="South"/>
    <s v="Office Supplies"/>
    <s v="Stapler"/>
    <n v="9"/>
    <n v="3485.43"/>
    <n v="728.82"/>
    <s v="23/1/2023"/>
    <x v="5"/>
    <n v="1905"/>
  </r>
  <r>
    <s v="ORD-1059"/>
    <x v="6"/>
    <n v="11"/>
    <n v="2023"/>
    <s v="South"/>
    <s v="Technology"/>
    <s v="Keyboard"/>
    <n v="2"/>
    <n v="345.18"/>
    <n v="70.33"/>
    <s v="11/6/2023"/>
    <x v="6"/>
    <n v="1905"/>
  </r>
  <r>
    <s v="ORD-1060"/>
    <x v="1"/>
    <n v="5"/>
    <n v="2023"/>
    <s v="West"/>
    <s v="Technology"/>
    <s v="Printer"/>
    <n v="3"/>
    <n v="3459"/>
    <n v="477.27"/>
    <s v="5/11/2023"/>
    <x v="1"/>
    <n v="1905"/>
  </r>
  <r>
    <s v="ORD-1061"/>
    <x v="7"/>
    <n v="29"/>
    <n v="2023"/>
    <s v="West"/>
    <s v="Office Supplies"/>
    <s v="Pen"/>
    <n v="1"/>
    <n v="285.77"/>
    <n v="28"/>
    <s v="29/8/2023"/>
    <x v="7"/>
    <n v="1905"/>
  </r>
  <r>
    <s v="ORD-1062"/>
    <x v="3"/>
    <n v="25"/>
    <n v="2023"/>
    <s v="East"/>
    <s v="Technology"/>
    <s v="Monitor"/>
    <n v="2"/>
    <n v="1548.84"/>
    <n v="409.18"/>
    <s v="25/12/2023"/>
    <x v="3"/>
    <n v="1905"/>
  </r>
  <r>
    <s v="ORD-1063"/>
    <x v="8"/>
    <n v="1"/>
    <n v="2022"/>
    <s v="East"/>
    <s v="Office Supplies"/>
    <s v="Paper"/>
    <n v="3"/>
    <n v="1282.1400000000001"/>
    <n v="310.70999999999998"/>
    <s v="1/2/2022"/>
    <x v="8"/>
    <n v="1905"/>
  </r>
  <r>
    <s v="ORD-1064"/>
    <x v="6"/>
    <n v="5"/>
    <n v="2023"/>
    <s v="West"/>
    <s v="Office Supplies"/>
    <s v="Paper"/>
    <n v="1"/>
    <n v="157.12"/>
    <n v="15.1"/>
    <s v="5/6/2023"/>
    <x v="6"/>
    <n v="1905"/>
  </r>
  <r>
    <s v="ORD-1065"/>
    <x v="1"/>
    <n v="5"/>
    <n v="2022"/>
    <s v="South"/>
    <s v="Office Supplies"/>
    <s v="Stapler"/>
    <n v="1"/>
    <n v="190.34"/>
    <n v="30.42"/>
    <s v="5/11/2022"/>
    <x v="1"/>
    <n v="1905"/>
  </r>
  <r>
    <s v="ORD-1066"/>
    <x v="3"/>
    <n v="16"/>
    <n v="2022"/>
    <s v="East"/>
    <s v="Technology"/>
    <s v="Laptop"/>
    <n v="3"/>
    <n v="1579.5"/>
    <n v="350.75"/>
    <s v="16/12/2022"/>
    <x v="3"/>
    <n v="1905"/>
  </r>
  <r>
    <s v="ORD-1067"/>
    <x v="1"/>
    <n v="14"/>
    <n v="2023"/>
    <s v="West"/>
    <s v="Furniture"/>
    <s v="Chair"/>
    <n v="3"/>
    <n v="2823.15"/>
    <n v="326.36"/>
    <s v="14/11/2023"/>
    <x v="1"/>
    <n v="1905"/>
  </r>
  <r>
    <s v="ORD-1068"/>
    <x v="10"/>
    <n v="27"/>
    <n v="2022"/>
    <s v="South"/>
    <s v="Office Supplies"/>
    <s v="Stapler"/>
    <n v="1"/>
    <n v="16.8"/>
    <n v="4.63"/>
    <s v="27/7/2022"/>
    <x v="10"/>
    <n v="1905"/>
  </r>
  <r>
    <s v="ORD-1069"/>
    <x v="5"/>
    <n v="29"/>
    <n v="2023"/>
    <s v="South"/>
    <s v="Technology"/>
    <s v="Laptop"/>
    <n v="4"/>
    <n v="191.44"/>
    <n v="26.33"/>
    <s v="29/1/2023"/>
    <x v="5"/>
    <n v="1905"/>
  </r>
  <r>
    <s v="ORD-1070"/>
    <x v="1"/>
    <n v="2"/>
    <n v="2022"/>
    <s v="South"/>
    <s v="Technology"/>
    <s v="Monitor"/>
    <n v="7"/>
    <n v="10467.450000000001"/>
    <n v="2595.65"/>
    <s v="2/11/2022"/>
    <x v="1"/>
    <n v="1905"/>
  </r>
  <r>
    <s v="ORD-1071"/>
    <x v="4"/>
    <n v="4"/>
    <n v="2022"/>
    <s v="Central"/>
    <s v="Furniture"/>
    <s v="Bookcase"/>
    <n v="5"/>
    <n v="4494.8"/>
    <n v="1152.43"/>
    <s v="4/3/2022"/>
    <x v="4"/>
    <n v="1905"/>
  </r>
  <r>
    <s v="ORD-1072"/>
    <x v="5"/>
    <n v="30"/>
    <n v="2022"/>
    <s v="West"/>
    <s v="Technology"/>
    <s v="Printer"/>
    <n v="1"/>
    <n v="1406.11"/>
    <n v="140.01"/>
    <s v="30/1/2022"/>
    <x v="5"/>
    <n v="1905"/>
  </r>
  <r>
    <s v="ORD-1073"/>
    <x v="11"/>
    <n v="18"/>
    <n v="2023"/>
    <s v="East"/>
    <s v="Furniture"/>
    <s v="Chair"/>
    <n v="3"/>
    <n v="3729.75"/>
    <n v="726.86"/>
    <s v="18/9/2023"/>
    <x v="11"/>
    <n v="1905"/>
  </r>
  <r>
    <s v="ORD-1074"/>
    <x v="2"/>
    <n v="7"/>
    <n v="2022"/>
    <s v="South"/>
    <s v="Office Supplies"/>
    <s v="Paper"/>
    <n v="3"/>
    <n v="953.07"/>
    <n v="113.59"/>
    <s v="7/5/2022"/>
    <x v="2"/>
    <n v="1905"/>
  </r>
  <r>
    <s v="ORD-1075"/>
    <x v="7"/>
    <n v="24"/>
    <n v="2022"/>
    <s v="Central"/>
    <s v="Furniture"/>
    <s v="Filing Cabinet"/>
    <n v="1"/>
    <n v="1096.6400000000001"/>
    <n v="183.64"/>
    <s v="24/8/2022"/>
    <x v="7"/>
    <n v="1905"/>
  </r>
  <r>
    <s v="ORD-1076"/>
    <x v="11"/>
    <n v="21"/>
    <n v="2022"/>
    <s v="East"/>
    <s v="Office Supplies"/>
    <s v="Pen"/>
    <n v="4"/>
    <n v="5611.76"/>
    <n v="676.13"/>
    <s v="21/9/2022"/>
    <x v="11"/>
    <n v="1905"/>
  </r>
  <r>
    <s v="ORD-1077"/>
    <x v="3"/>
    <n v="31"/>
    <n v="2023"/>
    <s v="South"/>
    <s v="Technology"/>
    <s v="Printer"/>
    <n v="8"/>
    <n v="4249.68"/>
    <n v="1253.0899999999999"/>
    <s v="31/12/2023"/>
    <x v="3"/>
    <n v="1905"/>
  </r>
  <r>
    <s v="ORD-1078"/>
    <x v="2"/>
    <n v="1"/>
    <n v="2022"/>
    <s v="South"/>
    <s v="Technology"/>
    <s v="Monitor"/>
    <n v="6"/>
    <n v="2487.6"/>
    <n v="223.33"/>
    <s v="1/5/2022"/>
    <x v="2"/>
    <n v="1905"/>
  </r>
  <r>
    <s v="ORD-1079"/>
    <x v="5"/>
    <n v="25"/>
    <n v="2023"/>
    <s v="Central"/>
    <s v="Technology"/>
    <s v="Laptop"/>
    <n v="5"/>
    <n v="7481.9"/>
    <n v="1792.92"/>
    <s v="25/1/2023"/>
    <x v="5"/>
    <n v="1905"/>
  </r>
  <r>
    <s v="ORD-1080"/>
    <x v="2"/>
    <n v="1"/>
    <n v="2022"/>
    <s v="West"/>
    <s v="Technology"/>
    <s v="Laptop"/>
    <n v="1"/>
    <n v="414.86"/>
    <n v="121.16"/>
    <s v="1/5/2022"/>
    <x v="2"/>
    <n v="1905"/>
  </r>
  <r>
    <s v="ORD-1081"/>
    <x v="8"/>
    <n v="24"/>
    <n v="2023"/>
    <s v="Central"/>
    <s v="Office Supplies"/>
    <s v="Notepad"/>
    <n v="5"/>
    <n v="1121.9000000000001"/>
    <n v="111.09"/>
    <s v="24/2/2023"/>
    <x v="8"/>
    <n v="1905"/>
  </r>
  <r>
    <s v="ORD-1082"/>
    <x v="6"/>
    <n v="28"/>
    <n v="2022"/>
    <s v="West"/>
    <s v="Office Supplies"/>
    <s v="Pen"/>
    <n v="6"/>
    <n v="6839.16"/>
    <n v="1086.72"/>
    <s v="28/6/2022"/>
    <x v="6"/>
    <n v="1905"/>
  </r>
  <r>
    <s v="ORD-1083"/>
    <x v="7"/>
    <n v="31"/>
    <n v="2022"/>
    <s v="South"/>
    <s v="Office Supplies"/>
    <s v="Notepad"/>
    <n v="1"/>
    <n v="915.97"/>
    <n v="61.25"/>
    <s v="31/8/2022"/>
    <x v="7"/>
    <n v="1905"/>
  </r>
  <r>
    <s v="ORD-1084"/>
    <x v="9"/>
    <n v="22"/>
    <n v="2023"/>
    <s v="West"/>
    <s v="Furniture"/>
    <s v="Table"/>
    <n v="2"/>
    <n v="1540.28"/>
    <n v="247.56"/>
    <s v="22/10/2023"/>
    <x v="9"/>
    <n v="1905"/>
  </r>
  <r>
    <s v="ORD-1085"/>
    <x v="5"/>
    <n v="30"/>
    <n v="2022"/>
    <s v="Central"/>
    <s v="Furniture"/>
    <s v="Filing Cabinet"/>
    <n v="4"/>
    <n v="1920.84"/>
    <n v="335.67"/>
    <s v="30/1/2022"/>
    <x v="5"/>
    <n v="1905"/>
  </r>
  <r>
    <s v="ORD-1086"/>
    <x v="8"/>
    <n v="13"/>
    <n v="2022"/>
    <s v="Central"/>
    <s v="Technology"/>
    <s v="Keyboard"/>
    <n v="3"/>
    <n v="2784.39"/>
    <n v="528.91"/>
    <s v="13/2/2022"/>
    <x v="8"/>
    <n v="1905"/>
  </r>
  <r>
    <s v="ORD-1087"/>
    <x v="0"/>
    <n v="30"/>
    <n v="2022"/>
    <s v="West"/>
    <s v="Technology"/>
    <s v="Printer"/>
    <n v="9"/>
    <n v="9894.15"/>
    <n v="2029.49"/>
    <s v="30/4/2022"/>
    <x v="0"/>
    <n v="1905"/>
  </r>
  <r>
    <s v="ORD-1088"/>
    <x v="5"/>
    <n v="7"/>
    <n v="2023"/>
    <s v="West"/>
    <s v="Technology"/>
    <s v="Keyboard"/>
    <n v="4"/>
    <n v="750.64"/>
    <n v="163.81"/>
    <s v="7/1/2023"/>
    <x v="5"/>
    <n v="1905"/>
  </r>
  <r>
    <s v="ORD-1089"/>
    <x v="4"/>
    <n v="4"/>
    <n v="2023"/>
    <s v="South"/>
    <s v="Furniture"/>
    <s v="Filing Cabinet"/>
    <n v="1"/>
    <n v="134.24"/>
    <n v="35.36"/>
    <s v="4/3/2023"/>
    <x v="4"/>
    <n v="1905"/>
  </r>
  <r>
    <s v="ORD-1090"/>
    <x v="4"/>
    <n v="14"/>
    <n v="2023"/>
    <s v="East"/>
    <s v="Furniture"/>
    <s v="Chair"/>
    <n v="1"/>
    <n v="1147.9100000000001"/>
    <n v="271.89"/>
    <s v="14/3/2023"/>
    <x v="4"/>
    <n v="1905"/>
  </r>
  <r>
    <s v="ORD-1091"/>
    <x v="5"/>
    <n v="23"/>
    <n v="2023"/>
    <s v="East"/>
    <s v="Office Supplies"/>
    <s v="Notepad"/>
    <n v="8"/>
    <n v="8887.6"/>
    <n v="2551.42"/>
    <s v="23/1/2023"/>
    <x v="5"/>
    <n v="1905"/>
  </r>
  <r>
    <s v="ORD-1092"/>
    <x v="9"/>
    <n v="13"/>
    <n v="2023"/>
    <s v="South"/>
    <s v="Furniture"/>
    <s v="Filing Cabinet"/>
    <n v="6"/>
    <n v="1562.46"/>
    <n v="341.02"/>
    <s v="13/10/2023"/>
    <x v="9"/>
    <n v="1905"/>
  </r>
  <r>
    <s v="ORD-1093"/>
    <x v="0"/>
    <n v="26"/>
    <n v="2022"/>
    <s v="East"/>
    <s v="Furniture"/>
    <s v="Table"/>
    <n v="3"/>
    <n v="370.98"/>
    <n v="106.26"/>
    <s v="26/4/2022"/>
    <x v="0"/>
    <n v="1905"/>
  </r>
  <r>
    <s v="ORD-1094"/>
    <x v="8"/>
    <n v="3"/>
    <n v="2023"/>
    <s v="East"/>
    <s v="Office Supplies"/>
    <s v="Pen"/>
    <n v="9"/>
    <n v="1184.94"/>
    <n v="230.86"/>
    <s v="3/2/2023"/>
    <x v="8"/>
    <n v="1905"/>
  </r>
  <r>
    <s v="ORD-1095"/>
    <x v="1"/>
    <n v="13"/>
    <n v="2023"/>
    <s v="Central"/>
    <s v="Furniture"/>
    <s v="Bookcase"/>
    <n v="2"/>
    <n v="771.86"/>
    <n v="79.48"/>
    <s v="13/11/2023"/>
    <x v="1"/>
    <n v="1905"/>
  </r>
  <r>
    <s v="ORD-1096"/>
    <x v="0"/>
    <n v="9"/>
    <n v="2023"/>
    <s v="South"/>
    <s v="Technology"/>
    <s v="Printer"/>
    <n v="7"/>
    <n v="2979.41"/>
    <n v="590.85"/>
    <s v="9/4/2023"/>
    <x v="0"/>
    <n v="1905"/>
  </r>
  <r>
    <s v="ORD-1097"/>
    <x v="0"/>
    <n v="27"/>
    <n v="2022"/>
    <s v="Central"/>
    <s v="Office Supplies"/>
    <s v="Pen"/>
    <n v="8"/>
    <n v="4234.16"/>
    <n v="1205.29"/>
    <s v="27/4/2022"/>
    <x v="0"/>
    <n v="1905"/>
  </r>
  <r>
    <s v="ORD-1098"/>
    <x v="9"/>
    <n v="14"/>
    <n v="2023"/>
    <s v="South"/>
    <s v="Furniture"/>
    <s v="Filing Cabinet"/>
    <n v="7"/>
    <n v="5948.11"/>
    <n v="681.74"/>
    <s v="14/10/2023"/>
    <x v="9"/>
    <n v="1905"/>
  </r>
  <r>
    <s v="ORD-1099"/>
    <x v="7"/>
    <n v="5"/>
    <n v="2023"/>
    <s v="West"/>
    <s v="Furniture"/>
    <s v="Table"/>
    <n v="2"/>
    <n v="2186.66"/>
    <n v="192.45"/>
    <s v="5/8/2023"/>
    <x v="7"/>
    <n v="1905"/>
  </r>
  <r>
    <s v="ORD-1100"/>
    <x v="2"/>
    <n v="16"/>
    <n v="2022"/>
    <s v="South"/>
    <s v="Furniture"/>
    <s v="Bookcase"/>
    <n v="6"/>
    <n v="8540.0400000000009"/>
    <n v="2475.86"/>
    <s v="16/5/2022"/>
    <x v="2"/>
    <n v="1905"/>
  </r>
  <r>
    <s v="ORD-1101"/>
    <x v="10"/>
    <n v="30"/>
    <n v="2022"/>
    <s v="Central"/>
    <s v="Technology"/>
    <s v="Printer"/>
    <n v="2"/>
    <n v="1298.22"/>
    <n v="387.85"/>
    <s v="30/7/2022"/>
    <x v="10"/>
    <n v="1905"/>
  </r>
  <r>
    <s v="ORD-1102"/>
    <x v="0"/>
    <n v="27"/>
    <n v="2022"/>
    <s v="West"/>
    <s v="Technology"/>
    <s v="Keyboard"/>
    <n v="9"/>
    <n v="10985.58"/>
    <n v="1929.06"/>
    <s v="27/4/2022"/>
    <x v="0"/>
    <n v="1905"/>
  </r>
  <r>
    <s v="ORD-1103"/>
    <x v="8"/>
    <n v="17"/>
    <n v="2022"/>
    <s v="South"/>
    <s v="Technology"/>
    <s v="Keyboard"/>
    <n v="2"/>
    <n v="1679.64"/>
    <n v="154.69"/>
    <s v="17/2/2022"/>
    <x v="8"/>
    <n v="1905"/>
  </r>
  <r>
    <s v="ORD-1104"/>
    <x v="4"/>
    <n v="23"/>
    <n v="2023"/>
    <s v="East"/>
    <s v="Technology"/>
    <s v="Laptop"/>
    <n v="5"/>
    <n v="1377.7"/>
    <n v="69.180000000000007"/>
    <s v="23/3/2023"/>
    <x v="4"/>
    <n v="1905"/>
  </r>
  <r>
    <s v="ORD-1105"/>
    <x v="10"/>
    <n v="5"/>
    <n v="2022"/>
    <s v="South"/>
    <s v="Office Supplies"/>
    <s v="Stapler"/>
    <n v="9"/>
    <n v="12013.29"/>
    <n v="1491.41"/>
    <s v="5/7/2022"/>
    <x v="10"/>
    <n v="1905"/>
  </r>
  <r>
    <s v="ORD-1106"/>
    <x v="6"/>
    <n v="24"/>
    <n v="2022"/>
    <s v="South"/>
    <s v="Technology"/>
    <s v="Keyboard"/>
    <n v="8"/>
    <n v="4943.04"/>
    <n v="1361.2"/>
    <s v="24/6/2022"/>
    <x v="6"/>
    <n v="1905"/>
  </r>
  <r>
    <s v="ORD-1107"/>
    <x v="3"/>
    <n v="12"/>
    <n v="2022"/>
    <s v="East"/>
    <s v="Technology"/>
    <s v="Laptop"/>
    <n v="9"/>
    <n v="6198.3"/>
    <n v="885.01"/>
    <s v="12/12/2022"/>
    <x v="3"/>
    <n v="1905"/>
  </r>
  <r>
    <s v="ORD-1108"/>
    <x v="7"/>
    <n v="11"/>
    <n v="2022"/>
    <s v="West"/>
    <s v="Office Supplies"/>
    <s v="Notepad"/>
    <n v="7"/>
    <n v="8562.5400000000009"/>
    <n v="2211.1799999999998"/>
    <s v="11/8/2022"/>
    <x v="7"/>
    <n v="1905"/>
  </r>
  <r>
    <s v="ORD-1109"/>
    <x v="5"/>
    <n v="8"/>
    <n v="2022"/>
    <s v="West"/>
    <s v="Furniture"/>
    <s v="Bookcase"/>
    <n v="7"/>
    <n v="1372.28"/>
    <n v="160.88"/>
    <s v="8/1/2022"/>
    <x v="5"/>
    <n v="1905"/>
  </r>
  <r>
    <s v="ORD-1110"/>
    <x v="7"/>
    <n v="5"/>
    <n v="2022"/>
    <s v="West"/>
    <s v="Technology"/>
    <s v="Printer"/>
    <n v="4"/>
    <n v="4087.32"/>
    <n v="229.62"/>
    <s v="5/8/2022"/>
    <x v="7"/>
    <n v="1905"/>
  </r>
  <r>
    <s v="ORD-1111"/>
    <x v="5"/>
    <n v="16"/>
    <n v="2023"/>
    <s v="Central"/>
    <s v="Office Supplies"/>
    <s v="Paper"/>
    <n v="5"/>
    <n v="2782.4"/>
    <n v="617.16999999999996"/>
    <s v="16/1/2023"/>
    <x v="5"/>
    <n v="1905"/>
  </r>
  <r>
    <s v="ORD-1112"/>
    <x v="7"/>
    <n v="20"/>
    <n v="2023"/>
    <s v="West"/>
    <s v="Furniture"/>
    <s v="Filing Cabinet"/>
    <n v="8"/>
    <n v="1151.52"/>
    <n v="181.14"/>
    <s v="20/8/2023"/>
    <x v="7"/>
    <n v="1905"/>
  </r>
  <r>
    <s v="ORD-1113"/>
    <x v="11"/>
    <n v="26"/>
    <n v="2022"/>
    <s v="Central"/>
    <s v="Technology"/>
    <s v="Keyboard"/>
    <n v="6"/>
    <n v="3190.26"/>
    <n v="941.25"/>
    <s v="26/9/2022"/>
    <x v="11"/>
    <n v="1905"/>
  </r>
  <r>
    <s v="ORD-1114"/>
    <x v="0"/>
    <n v="3"/>
    <n v="2022"/>
    <s v="Central"/>
    <s v="Technology"/>
    <s v="Printer"/>
    <n v="8"/>
    <n v="3340.64"/>
    <n v="676.35"/>
    <s v="3/4/2022"/>
    <x v="0"/>
    <n v="1905"/>
  </r>
  <r>
    <s v="ORD-1115"/>
    <x v="11"/>
    <n v="2"/>
    <n v="2023"/>
    <s v="West"/>
    <s v="Technology"/>
    <s v="Laptop"/>
    <n v="5"/>
    <n v="1227.05"/>
    <n v="114.16"/>
    <s v="2/9/2023"/>
    <x v="11"/>
    <n v="1905"/>
  </r>
  <r>
    <s v="ORD-1116"/>
    <x v="5"/>
    <n v="7"/>
    <n v="2023"/>
    <s v="East"/>
    <s v="Technology"/>
    <s v="Laptop"/>
    <n v="9"/>
    <n v="3797.91"/>
    <n v="1120.7"/>
    <s v="7/1/2023"/>
    <x v="5"/>
    <n v="1905"/>
  </r>
  <r>
    <s v="ORD-1117"/>
    <x v="7"/>
    <n v="18"/>
    <n v="2023"/>
    <s v="Central"/>
    <s v="Office Supplies"/>
    <s v="Notepad"/>
    <n v="6"/>
    <n v="6821.94"/>
    <n v="969.94"/>
    <s v="18/8/2023"/>
    <x v="7"/>
    <n v="1905"/>
  </r>
  <r>
    <s v="ORD-1118"/>
    <x v="10"/>
    <n v="7"/>
    <n v="2022"/>
    <s v="South"/>
    <s v="Office Supplies"/>
    <s v="Stapler"/>
    <n v="2"/>
    <n v="1370.98"/>
    <n v="258.04000000000002"/>
    <s v="7/7/2022"/>
    <x v="10"/>
    <n v="1905"/>
  </r>
  <r>
    <s v="ORD-1119"/>
    <x v="8"/>
    <n v="13"/>
    <n v="2022"/>
    <s v="East"/>
    <s v="Furniture"/>
    <s v="Table"/>
    <n v="5"/>
    <n v="2134.4499999999998"/>
    <n v="623.41"/>
    <s v="13/2/2022"/>
    <x v="8"/>
    <n v="1905"/>
  </r>
  <r>
    <s v="ORD-1120"/>
    <x v="3"/>
    <n v="24"/>
    <n v="2022"/>
    <s v="West"/>
    <s v="Office Supplies"/>
    <s v="Stapler"/>
    <n v="8"/>
    <n v="2821.6"/>
    <n v="808.7"/>
    <s v="24/12/2022"/>
    <x v="3"/>
    <n v="1905"/>
  </r>
  <r>
    <s v="ORD-1121"/>
    <x v="6"/>
    <n v="19"/>
    <n v="2022"/>
    <s v="West"/>
    <s v="Technology"/>
    <s v="Monitor"/>
    <n v="3"/>
    <n v="105.84"/>
    <n v="6.88"/>
    <s v="19/6/2022"/>
    <x v="6"/>
    <n v="1905"/>
  </r>
  <r>
    <s v="ORD-1122"/>
    <x v="1"/>
    <n v="11"/>
    <n v="2022"/>
    <s v="West"/>
    <s v="Technology"/>
    <s v="Printer"/>
    <n v="2"/>
    <n v="2892.62"/>
    <n v="738.44"/>
    <s v="11/11/2022"/>
    <x v="1"/>
    <n v="1905"/>
  </r>
  <r>
    <s v="ORD-1123"/>
    <x v="9"/>
    <n v="23"/>
    <n v="2023"/>
    <s v="East"/>
    <s v="Office Supplies"/>
    <s v="Paper"/>
    <n v="2"/>
    <n v="2097.58"/>
    <n v="474.38"/>
    <s v="23/10/2023"/>
    <x v="9"/>
    <n v="1905"/>
  </r>
  <r>
    <s v="ORD-1124"/>
    <x v="6"/>
    <n v="15"/>
    <n v="2023"/>
    <s v="East"/>
    <s v="Furniture"/>
    <s v="Filing Cabinet"/>
    <n v="1"/>
    <n v="391.78"/>
    <n v="115.28"/>
    <s v="15/6/2023"/>
    <x v="6"/>
    <n v="1905"/>
  </r>
  <r>
    <s v="ORD-1125"/>
    <x v="5"/>
    <n v="21"/>
    <n v="2022"/>
    <s v="Central"/>
    <s v="Furniture"/>
    <s v="Bookcase"/>
    <n v="3"/>
    <n v="2707.32"/>
    <n v="180.12"/>
    <s v="21/1/2022"/>
    <x v="5"/>
    <n v="1905"/>
  </r>
  <r>
    <s v="ORD-1126"/>
    <x v="7"/>
    <n v="16"/>
    <n v="2023"/>
    <s v="West"/>
    <s v="Furniture"/>
    <s v="Table"/>
    <n v="5"/>
    <n v="3344"/>
    <n v="942.05"/>
    <s v="16/8/2023"/>
    <x v="7"/>
    <n v="1905"/>
  </r>
  <r>
    <s v="ORD-1127"/>
    <x v="3"/>
    <n v="8"/>
    <n v="2022"/>
    <s v="East"/>
    <s v="Furniture"/>
    <s v="Chair"/>
    <n v="9"/>
    <n v="10681.29"/>
    <n v="2960.45"/>
    <s v="8/12/2022"/>
    <x v="3"/>
    <n v="1905"/>
  </r>
  <r>
    <s v="ORD-1128"/>
    <x v="5"/>
    <n v="22"/>
    <n v="2023"/>
    <s v="Central"/>
    <s v="Office Supplies"/>
    <s v="Notepad"/>
    <n v="2"/>
    <n v="240.48"/>
    <n v="53.76"/>
    <s v="22/1/2023"/>
    <x v="5"/>
    <n v="1905"/>
  </r>
  <r>
    <s v="ORD-1129"/>
    <x v="11"/>
    <n v="29"/>
    <n v="2022"/>
    <s v="Central"/>
    <s v="Furniture"/>
    <s v="Bookcase"/>
    <n v="6"/>
    <n v="7296.06"/>
    <n v="486.92"/>
    <s v="29/9/2022"/>
    <x v="11"/>
    <n v="1905"/>
  </r>
  <r>
    <s v="ORD-1130"/>
    <x v="3"/>
    <n v="4"/>
    <n v="2022"/>
    <s v="South"/>
    <s v="Technology"/>
    <s v="Keyboard"/>
    <n v="7"/>
    <n v="8371.58"/>
    <n v="2104.08"/>
    <s v="4/12/2022"/>
    <x v="3"/>
    <n v="1905"/>
  </r>
  <r>
    <s v="ORD-1131"/>
    <x v="0"/>
    <n v="12"/>
    <n v="2023"/>
    <s v="Central"/>
    <s v="Office Supplies"/>
    <s v="Pen"/>
    <n v="2"/>
    <n v="810.36"/>
    <n v="203.34"/>
    <s v="12/4/2023"/>
    <x v="0"/>
    <n v="1905"/>
  </r>
  <r>
    <s v="ORD-1132"/>
    <x v="5"/>
    <n v="30"/>
    <n v="2023"/>
    <s v="Central"/>
    <s v="Furniture"/>
    <s v="Filing Cabinet"/>
    <n v="5"/>
    <n v="7294.85"/>
    <n v="559.71"/>
    <s v="30/1/2023"/>
    <x v="5"/>
    <n v="1905"/>
  </r>
  <r>
    <s v="ORD-1133"/>
    <x v="9"/>
    <n v="11"/>
    <n v="2022"/>
    <s v="West"/>
    <s v="Furniture"/>
    <s v="Bookcase"/>
    <n v="7"/>
    <n v="6133.47"/>
    <n v="1403.41"/>
    <s v="11/10/2022"/>
    <x v="9"/>
    <n v="1905"/>
  </r>
  <r>
    <s v="ORD-1134"/>
    <x v="7"/>
    <n v="17"/>
    <n v="2022"/>
    <s v="South"/>
    <s v="Technology"/>
    <s v="Keyboard"/>
    <n v="7"/>
    <n v="8296.68"/>
    <n v="519.72"/>
    <s v="17/8/2022"/>
    <x v="7"/>
    <n v="1905"/>
  </r>
  <r>
    <s v="ORD-1135"/>
    <x v="10"/>
    <n v="20"/>
    <n v="2022"/>
    <s v="West"/>
    <s v="Technology"/>
    <s v="Printer"/>
    <n v="6"/>
    <n v="641.52"/>
    <n v="187.26"/>
    <s v="20/7/2022"/>
    <x v="10"/>
    <n v="1905"/>
  </r>
  <r>
    <s v="ORD-1136"/>
    <x v="4"/>
    <n v="1"/>
    <n v="2022"/>
    <s v="East"/>
    <s v="Office Supplies"/>
    <s v="Paper"/>
    <n v="6"/>
    <n v="3223.38"/>
    <n v="282.76"/>
    <s v="1/3/2022"/>
    <x v="4"/>
    <n v="1905"/>
  </r>
  <r>
    <s v="ORD-1137"/>
    <x v="5"/>
    <n v="5"/>
    <n v="2022"/>
    <s v="Central"/>
    <s v="Office Supplies"/>
    <s v="Notepad"/>
    <n v="6"/>
    <n v="1982.94"/>
    <n v="362.12"/>
    <s v="5/1/2022"/>
    <x v="5"/>
    <n v="1905"/>
  </r>
  <r>
    <s v="ORD-1138"/>
    <x v="8"/>
    <n v="15"/>
    <n v="2022"/>
    <s v="East"/>
    <s v="Office Supplies"/>
    <s v="Notepad"/>
    <n v="7"/>
    <n v="9461.69"/>
    <n v="2219.2600000000002"/>
    <s v="15/2/2022"/>
    <x v="8"/>
    <n v="1905"/>
  </r>
  <r>
    <s v="ORD-1139"/>
    <x v="4"/>
    <n v="9"/>
    <n v="2023"/>
    <s v="Central"/>
    <s v="Office Supplies"/>
    <s v="Notepad"/>
    <n v="2"/>
    <n v="1667.1"/>
    <n v="303.26"/>
    <s v="9/3/2023"/>
    <x v="4"/>
    <n v="1905"/>
  </r>
  <r>
    <s v="ORD-1140"/>
    <x v="1"/>
    <n v="8"/>
    <n v="2022"/>
    <s v="West"/>
    <s v="Technology"/>
    <s v="Keyboard"/>
    <n v="5"/>
    <n v="3883.4"/>
    <n v="541.24"/>
    <s v="8/11/2022"/>
    <x v="1"/>
    <n v="1905"/>
  </r>
  <r>
    <s v="ORD-1141"/>
    <x v="8"/>
    <n v="17"/>
    <n v="2023"/>
    <s v="West"/>
    <s v="Technology"/>
    <s v="Monitor"/>
    <n v="7"/>
    <n v="9611.42"/>
    <n v="756.15"/>
    <s v="17/2/2023"/>
    <x v="8"/>
    <n v="1905"/>
  </r>
  <r>
    <s v="ORD-1142"/>
    <x v="5"/>
    <n v="12"/>
    <n v="2023"/>
    <s v="Central"/>
    <s v="Furniture"/>
    <s v="Filing Cabinet"/>
    <n v="3"/>
    <n v="3440.43"/>
    <n v="904.66"/>
    <s v="12/1/2023"/>
    <x v="5"/>
    <n v="1905"/>
  </r>
  <r>
    <s v="ORD-1143"/>
    <x v="8"/>
    <n v="2"/>
    <n v="2023"/>
    <s v="East"/>
    <s v="Technology"/>
    <s v="Keyboard"/>
    <n v="7"/>
    <n v="3426.43"/>
    <n v="260.83999999999997"/>
    <s v="2/2/2023"/>
    <x v="8"/>
    <n v="1905"/>
  </r>
  <r>
    <s v="ORD-1144"/>
    <x v="10"/>
    <n v="28"/>
    <n v="2023"/>
    <s v="West"/>
    <s v="Furniture"/>
    <s v="Bookcase"/>
    <n v="7"/>
    <n v="5894.84"/>
    <n v="1715.18"/>
    <s v="28/7/2023"/>
    <x v="10"/>
    <n v="1905"/>
  </r>
  <r>
    <s v="ORD-1145"/>
    <x v="9"/>
    <n v="3"/>
    <n v="2022"/>
    <s v="East"/>
    <s v="Technology"/>
    <s v="Laptop"/>
    <n v="1"/>
    <n v="1494.67"/>
    <n v="377.94"/>
    <s v="3/10/2022"/>
    <x v="9"/>
    <n v="1905"/>
  </r>
  <r>
    <s v="ORD-1146"/>
    <x v="7"/>
    <n v="2"/>
    <n v="2022"/>
    <s v="South"/>
    <s v="Technology"/>
    <s v="Keyboard"/>
    <n v="9"/>
    <n v="6296.58"/>
    <n v="1585.94"/>
    <s v="2/8/2022"/>
    <x v="7"/>
    <n v="1905"/>
  </r>
  <r>
    <s v="ORD-1147"/>
    <x v="5"/>
    <n v="17"/>
    <n v="2022"/>
    <s v="West"/>
    <s v="Furniture"/>
    <s v="Bookcase"/>
    <n v="5"/>
    <n v="7263"/>
    <n v="1649.03"/>
    <s v="17/1/2022"/>
    <x v="5"/>
    <n v="1905"/>
  </r>
  <r>
    <s v="ORD-1148"/>
    <x v="1"/>
    <n v="13"/>
    <n v="2023"/>
    <s v="Central"/>
    <s v="Technology"/>
    <s v="Printer"/>
    <n v="8"/>
    <n v="7507.04"/>
    <n v="871"/>
    <s v="13/11/2023"/>
    <x v="1"/>
    <n v="1905"/>
  </r>
  <r>
    <s v="ORD-1149"/>
    <x v="9"/>
    <n v="24"/>
    <n v="2022"/>
    <s v="West"/>
    <s v="Furniture"/>
    <s v="Chair"/>
    <n v="1"/>
    <n v="476.45"/>
    <n v="63.3"/>
    <s v="24/10/2022"/>
    <x v="9"/>
    <n v="1905"/>
  </r>
  <r>
    <s v="ORD-1150"/>
    <x v="6"/>
    <n v="10"/>
    <n v="2023"/>
    <s v="West"/>
    <s v="Furniture"/>
    <s v="Bookcase"/>
    <n v="9"/>
    <n v="4602.0600000000004"/>
    <n v="1165.51"/>
    <s v="10/6/2023"/>
    <x v="6"/>
    <n v="1905"/>
  </r>
  <r>
    <s v="ORD-1151"/>
    <x v="9"/>
    <n v="11"/>
    <n v="2022"/>
    <s v="West"/>
    <s v="Office Supplies"/>
    <s v="Paper"/>
    <n v="5"/>
    <n v="4281.2"/>
    <n v="776.07"/>
    <s v="11/10/2022"/>
    <x v="9"/>
    <n v="1905"/>
  </r>
  <r>
    <s v="ORD-1152"/>
    <x v="9"/>
    <n v="31"/>
    <n v="2022"/>
    <s v="South"/>
    <s v="Office Supplies"/>
    <s v="Stapler"/>
    <n v="8"/>
    <n v="3598.4"/>
    <n v="958.75"/>
    <s v="31/10/2022"/>
    <x v="9"/>
    <n v="1905"/>
  </r>
  <r>
    <s v="ORD-1153"/>
    <x v="2"/>
    <n v="15"/>
    <n v="2023"/>
    <s v="West"/>
    <s v="Office Supplies"/>
    <s v="Pen"/>
    <n v="6"/>
    <n v="4702.74"/>
    <n v="619.95000000000005"/>
    <s v="15/5/2023"/>
    <x v="2"/>
    <n v="1905"/>
  </r>
  <r>
    <s v="ORD-1154"/>
    <x v="7"/>
    <n v="4"/>
    <n v="2022"/>
    <s v="South"/>
    <s v="Technology"/>
    <s v="Monitor"/>
    <n v="3"/>
    <n v="3866.28"/>
    <n v="1136.94"/>
    <s v="4/8/2022"/>
    <x v="7"/>
    <n v="1905"/>
  </r>
  <r>
    <s v="ORD-1155"/>
    <x v="9"/>
    <n v="21"/>
    <n v="2022"/>
    <s v="Central"/>
    <s v="Technology"/>
    <s v="Printer"/>
    <n v="3"/>
    <n v="2719.98"/>
    <n v="243.28"/>
    <s v="21/10/2022"/>
    <x v="9"/>
    <n v="1905"/>
  </r>
  <r>
    <s v="ORD-1156"/>
    <x v="6"/>
    <n v="14"/>
    <n v="2022"/>
    <s v="West"/>
    <s v="Office Supplies"/>
    <s v="Stapler"/>
    <n v="5"/>
    <n v="6622.5"/>
    <n v="827.96"/>
    <s v="14/6/2022"/>
    <x v="6"/>
    <n v="1905"/>
  </r>
  <r>
    <s v="ORD-1157"/>
    <x v="2"/>
    <n v="8"/>
    <n v="2023"/>
    <s v="Central"/>
    <s v="Technology"/>
    <s v="Keyboard"/>
    <n v="5"/>
    <n v="7204.8"/>
    <n v="2152.52"/>
    <s v="8/5/2023"/>
    <x v="2"/>
    <n v="1905"/>
  </r>
  <r>
    <s v="ORD-1158"/>
    <x v="3"/>
    <n v="25"/>
    <n v="2023"/>
    <s v="Central"/>
    <s v="Furniture"/>
    <s v="Filing Cabinet"/>
    <n v="1"/>
    <n v="934.17"/>
    <n v="193.1"/>
    <s v="25/12/2023"/>
    <x v="3"/>
    <n v="1905"/>
  </r>
  <r>
    <s v="ORD-1159"/>
    <x v="6"/>
    <n v="24"/>
    <n v="2022"/>
    <s v="Central"/>
    <s v="Furniture"/>
    <s v="Table"/>
    <n v="5"/>
    <n v="7006.75"/>
    <n v="595.91"/>
    <s v="24/6/2022"/>
    <x v="6"/>
    <n v="1905"/>
  </r>
  <r>
    <s v="ORD-1160"/>
    <x v="3"/>
    <n v="21"/>
    <n v="2022"/>
    <s v="East"/>
    <s v="Furniture"/>
    <s v="Table"/>
    <n v="2"/>
    <n v="2818.82"/>
    <n v="640.27"/>
    <s v="21/12/2022"/>
    <x v="3"/>
    <n v="1905"/>
  </r>
  <r>
    <s v="ORD-1161"/>
    <x v="1"/>
    <n v="18"/>
    <n v="2023"/>
    <s v="Central"/>
    <s v="Technology"/>
    <s v="Monitor"/>
    <n v="9"/>
    <n v="11361.06"/>
    <n v="2109.5100000000002"/>
    <s v="18/11/2023"/>
    <x v="1"/>
    <n v="1905"/>
  </r>
  <r>
    <s v="ORD-1162"/>
    <x v="3"/>
    <n v="8"/>
    <n v="2022"/>
    <s v="South"/>
    <s v="Technology"/>
    <s v="Monitor"/>
    <n v="8"/>
    <n v="1459.04"/>
    <n v="204.91"/>
    <s v="8/12/2022"/>
    <x v="3"/>
    <n v="1905"/>
  </r>
  <r>
    <s v="ORD-1163"/>
    <x v="2"/>
    <n v="18"/>
    <n v="2022"/>
    <s v="Central"/>
    <s v="Technology"/>
    <s v="Laptop"/>
    <n v="3"/>
    <n v="2987.91"/>
    <n v="881.57"/>
    <s v="18/5/2022"/>
    <x v="2"/>
    <n v="1905"/>
  </r>
  <r>
    <s v="ORD-1164"/>
    <x v="3"/>
    <n v="26"/>
    <n v="2022"/>
    <s v="Central"/>
    <s v="Furniture"/>
    <s v="Table"/>
    <n v="4"/>
    <n v="1677.4"/>
    <n v="483.57"/>
    <s v="26/12/2022"/>
    <x v="3"/>
    <n v="1905"/>
  </r>
  <r>
    <s v="ORD-1165"/>
    <x v="8"/>
    <n v="17"/>
    <n v="2023"/>
    <s v="East"/>
    <s v="Office Supplies"/>
    <s v="Pen"/>
    <n v="9"/>
    <n v="1354.05"/>
    <n v="289.97000000000003"/>
    <s v="17/2/2023"/>
    <x v="8"/>
    <n v="1905"/>
  </r>
  <r>
    <s v="ORD-1166"/>
    <x v="11"/>
    <n v="29"/>
    <n v="2023"/>
    <s v="West"/>
    <s v="Office Supplies"/>
    <s v="Stapler"/>
    <n v="7"/>
    <n v="6969.13"/>
    <n v="1078.96"/>
    <s v="29/9/2023"/>
    <x v="11"/>
    <n v="1905"/>
  </r>
  <r>
    <s v="ORD-1167"/>
    <x v="5"/>
    <n v="27"/>
    <n v="2023"/>
    <s v="East"/>
    <s v="Technology"/>
    <s v="Monitor"/>
    <n v="1"/>
    <n v="1219.24"/>
    <n v="199.73"/>
    <s v="27/1/2023"/>
    <x v="5"/>
    <n v="1905"/>
  </r>
  <r>
    <s v="ORD-1168"/>
    <x v="8"/>
    <n v="20"/>
    <n v="2023"/>
    <s v="East"/>
    <s v="Office Supplies"/>
    <s v="Notepad"/>
    <n v="2"/>
    <n v="1511.08"/>
    <n v="353.36"/>
    <s v="20/2/2023"/>
    <x v="8"/>
    <n v="1905"/>
  </r>
  <r>
    <s v="ORD-1169"/>
    <x v="3"/>
    <n v="18"/>
    <n v="2022"/>
    <s v="East"/>
    <s v="Office Supplies"/>
    <s v="Notepad"/>
    <n v="8"/>
    <n v="6807.68"/>
    <n v="1489.58"/>
    <s v="18/12/2022"/>
    <x v="3"/>
    <n v="1905"/>
  </r>
  <r>
    <s v="ORD-1170"/>
    <x v="2"/>
    <n v="8"/>
    <n v="2023"/>
    <s v="East"/>
    <s v="Technology"/>
    <s v="Printer"/>
    <n v="2"/>
    <n v="687.38"/>
    <n v="188.71"/>
    <s v="8/5/2023"/>
    <x v="2"/>
    <n v="1905"/>
  </r>
  <r>
    <s v="ORD-1171"/>
    <x v="4"/>
    <n v="14"/>
    <n v="2023"/>
    <s v="South"/>
    <s v="Furniture"/>
    <s v="Chair"/>
    <n v="7"/>
    <n v="4776.59"/>
    <n v="697.42"/>
    <s v="14/3/2023"/>
    <x v="4"/>
    <n v="1905"/>
  </r>
  <r>
    <s v="ORD-1172"/>
    <x v="10"/>
    <n v="17"/>
    <n v="2022"/>
    <s v="East"/>
    <s v="Technology"/>
    <s v="Keyboard"/>
    <n v="5"/>
    <n v="6380.15"/>
    <n v="1701.33"/>
    <s v="17/7/2022"/>
    <x v="10"/>
    <n v="1905"/>
  </r>
  <r>
    <s v="ORD-1173"/>
    <x v="4"/>
    <n v="3"/>
    <n v="2023"/>
    <s v="West"/>
    <s v="Furniture"/>
    <s v="Bookcase"/>
    <n v="1"/>
    <n v="932.23"/>
    <n v="148.68"/>
    <s v="3/3/2023"/>
    <x v="4"/>
    <n v="1905"/>
  </r>
  <r>
    <s v="ORD-1174"/>
    <x v="9"/>
    <n v="15"/>
    <n v="2022"/>
    <s v="East"/>
    <s v="Office Supplies"/>
    <s v="Paper"/>
    <n v="3"/>
    <n v="2508.66"/>
    <n v="477.59"/>
    <s v="15/10/2022"/>
    <x v="9"/>
    <n v="1905"/>
  </r>
  <r>
    <s v="ORD-1175"/>
    <x v="2"/>
    <n v="26"/>
    <n v="2022"/>
    <s v="South"/>
    <s v="Furniture"/>
    <s v="Bookcase"/>
    <n v="5"/>
    <n v="2000.55"/>
    <n v="591.6"/>
    <s v="26/5/2022"/>
    <x v="2"/>
    <n v="1905"/>
  </r>
  <r>
    <s v="ORD-1176"/>
    <x v="6"/>
    <n v="7"/>
    <n v="2023"/>
    <s v="Central"/>
    <s v="Technology"/>
    <s v="Printer"/>
    <n v="8"/>
    <n v="2036.56"/>
    <n v="607.17999999999995"/>
    <s v="7/6/2023"/>
    <x v="6"/>
    <n v="1905"/>
  </r>
  <r>
    <s v="ORD-1177"/>
    <x v="10"/>
    <n v="3"/>
    <n v="2023"/>
    <s v="South"/>
    <s v="Technology"/>
    <s v="Printer"/>
    <n v="8"/>
    <n v="5073.04"/>
    <n v="753.28"/>
    <s v="3/7/2023"/>
    <x v="10"/>
    <n v="1905"/>
  </r>
  <r>
    <s v="ORD-1178"/>
    <x v="1"/>
    <n v="2"/>
    <n v="2022"/>
    <s v="Central"/>
    <s v="Technology"/>
    <s v="Laptop"/>
    <n v="8"/>
    <n v="11181.36"/>
    <n v="1084.51"/>
    <s v="2/11/2022"/>
    <x v="1"/>
    <n v="1905"/>
  </r>
  <r>
    <s v="ORD-1179"/>
    <x v="9"/>
    <n v="11"/>
    <n v="2023"/>
    <s v="Central"/>
    <s v="Furniture"/>
    <s v="Bookcase"/>
    <n v="8"/>
    <n v="8758.56"/>
    <n v="2477.8000000000002"/>
    <s v="11/10/2023"/>
    <x v="9"/>
    <n v="1905"/>
  </r>
  <r>
    <s v="ORD-1180"/>
    <x v="3"/>
    <n v="29"/>
    <n v="2023"/>
    <s v="South"/>
    <s v="Office Supplies"/>
    <s v="Stapler"/>
    <n v="4"/>
    <n v="3252.44"/>
    <n v="467.43"/>
    <s v="29/12/2023"/>
    <x v="3"/>
    <n v="1905"/>
  </r>
  <r>
    <s v="ORD-1181"/>
    <x v="7"/>
    <n v="4"/>
    <n v="2023"/>
    <s v="South"/>
    <s v="Furniture"/>
    <s v="Filing Cabinet"/>
    <n v="5"/>
    <n v="6251.65"/>
    <n v="1416.13"/>
    <s v="4/8/2023"/>
    <x v="7"/>
    <n v="1905"/>
  </r>
  <r>
    <s v="ORD-1182"/>
    <x v="4"/>
    <n v="14"/>
    <n v="2022"/>
    <s v="South"/>
    <s v="Furniture"/>
    <s v="Chair"/>
    <n v="4"/>
    <n v="2167.8000000000002"/>
    <n v="226.82"/>
    <s v="14/3/2022"/>
    <x v="4"/>
    <n v="1905"/>
  </r>
  <r>
    <s v="ORD-1183"/>
    <x v="0"/>
    <n v="13"/>
    <n v="2022"/>
    <s v="East"/>
    <s v="Technology"/>
    <s v="Keyboard"/>
    <n v="8"/>
    <n v="8138.32"/>
    <n v="742.36"/>
    <s v="13/4/2022"/>
    <x v="0"/>
    <n v="1905"/>
  </r>
  <r>
    <s v="ORD-1184"/>
    <x v="4"/>
    <n v="30"/>
    <n v="2023"/>
    <s v="East"/>
    <s v="Office Supplies"/>
    <s v="Pen"/>
    <n v="2"/>
    <n v="2768.48"/>
    <n v="711.47"/>
    <s v="30/3/2023"/>
    <x v="4"/>
    <n v="1905"/>
  </r>
  <r>
    <s v="ORD-1185"/>
    <x v="3"/>
    <n v="6"/>
    <n v="2023"/>
    <s v="South"/>
    <s v="Office Supplies"/>
    <s v="Notepad"/>
    <n v="1"/>
    <n v="367.52"/>
    <n v="94.17"/>
    <s v="6/12/2023"/>
    <x v="3"/>
    <n v="1905"/>
  </r>
  <r>
    <s v="ORD-1186"/>
    <x v="2"/>
    <n v="29"/>
    <n v="2022"/>
    <s v="Central"/>
    <s v="Furniture"/>
    <s v="Chair"/>
    <n v="8"/>
    <n v="9436.08"/>
    <n v="810.69"/>
    <s v="29/5/2022"/>
    <x v="2"/>
    <n v="1905"/>
  </r>
  <r>
    <s v="ORD-1187"/>
    <x v="8"/>
    <n v="14"/>
    <n v="2022"/>
    <s v="South"/>
    <s v="Furniture"/>
    <s v="Bookcase"/>
    <n v="7"/>
    <n v="6193.39"/>
    <n v="487.86"/>
    <s v="14/2/2022"/>
    <x v="8"/>
    <n v="1905"/>
  </r>
  <r>
    <s v="ORD-1188"/>
    <x v="6"/>
    <n v="24"/>
    <n v="2023"/>
    <s v="West"/>
    <s v="Furniture"/>
    <s v="Chair"/>
    <n v="1"/>
    <n v="941.31"/>
    <n v="76.38"/>
    <s v="24/6/2023"/>
    <x v="6"/>
    <n v="1905"/>
  </r>
  <r>
    <s v="ORD-1189"/>
    <x v="1"/>
    <n v="18"/>
    <n v="2023"/>
    <s v="East"/>
    <s v="Furniture"/>
    <s v="Bookcase"/>
    <n v="7"/>
    <n v="7239.61"/>
    <n v="444.29"/>
    <s v="18/11/2023"/>
    <x v="1"/>
    <n v="1905"/>
  </r>
  <r>
    <s v="ORD-1190"/>
    <x v="7"/>
    <n v="17"/>
    <n v="2023"/>
    <s v="East"/>
    <s v="Office Supplies"/>
    <s v="Paper"/>
    <n v="5"/>
    <n v="7035.45"/>
    <n v="541.64"/>
    <s v="17/8/2023"/>
    <x v="7"/>
    <n v="1905"/>
  </r>
  <r>
    <s v="ORD-1191"/>
    <x v="0"/>
    <n v="8"/>
    <n v="2023"/>
    <s v="Central"/>
    <s v="Technology"/>
    <s v="Printer"/>
    <n v="1"/>
    <n v="830.28"/>
    <n v="85.03"/>
    <s v="8/4/2023"/>
    <x v="0"/>
    <n v="1905"/>
  </r>
  <r>
    <s v="ORD-1192"/>
    <x v="3"/>
    <n v="15"/>
    <n v="2023"/>
    <s v="Central"/>
    <s v="Furniture"/>
    <s v="Chair"/>
    <n v="7"/>
    <n v="6974.45"/>
    <n v="1719.63"/>
    <s v="15/12/2023"/>
    <x v="3"/>
    <n v="1905"/>
  </r>
  <r>
    <s v="ORD-1193"/>
    <x v="10"/>
    <n v="14"/>
    <n v="2022"/>
    <s v="Central"/>
    <s v="Office Supplies"/>
    <s v="Stapler"/>
    <n v="5"/>
    <n v="4000.65"/>
    <n v="1112.42"/>
    <s v="14/7/2022"/>
    <x v="10"/>
    <n v="1905"/>
  </r>
  <r>
    <s v="ORD-1194"/>
    <x v="2"/>
    <n v="16"/>
    <n v="2022"/>
    <s v="West"/>
    <s v="Technology"/>
    <s v="Monitor"/>
    <n v="9"/>
    <n v="10781.46"/>
    <n v="2544.66"/>
    <s v="16/5/2022"/>
    <x v="2"/>
    <n v="1905"/>
  </r>
  <r>
    <s v="ORD-1195"/>
    <x v="9"/>
    <n v="21"/>
    <n v="2022"/>
    <s v="Central"/>
    <s v="Office Supplies"/>
    <s v="Notepad"/>
    <n v="2"/>
    <n v="31.36"/>
    <n v="8.09"/>
    <s v="21/10/2022"/>
    <x v="9"/>
    <n v="1905"/>
  </r>
  <r>
    <s v="ORD-1196"/>
    <x v="7"/>
    <n v="26"/>
    <n v="2022"/>
    <s v="Central"/>
    <s v="Office Supplies"/>
    <s v="Stapler"/>
    <n v="4"/>
    <n v="1084.76"/>
    <n v="276.97000000000003"/>
    <s v="26/8/2022"/>
    <x v="7"/>
    <n v="1905"/>
  </r>
  <r>
    <s v="ORD-1197"/>
    <x v="2"/>
    <n v="4"/>
    <n v="2023"/>
    <s v="Central"/>
    <s v="Technology"/>
    <s v="Monitor"/>
    <n v="9"/>
    <n v="239.4"/>
    <n v="58.68"/>
    <s v="4/5/2023"/>
    <x v="2"/>
    <n v="1905"/>
  </r>
  <r>
    <s v="ORD-1198"/>
    <x v="7"/>
    <n v="15"/>
    <n v="2023"/>
    <s v="East"/>
    <s v="Furniture"/>
    <s v="Table"/>
    <n v="5"/>
    <n v="1059.5999999999999"/>
    <n v="160.66999999999999"/>
    <s v="15/8/2023"/>
    <x v="7"/>
    <n v="1905"/>
  </r>
  <r>
    <s v="ORD-1199"/>
    <x v="6"/>
    <n v="27"/>
    <n v="2022"/>
    <s v="Central"/>
    <s v="Office Supplies"/>
    <s v="Stapler"/>
    <n v="7"/>
    <n v="3272.08"/>
    <n v="825.02"/>
    <s v="27/6/2022"/>
    <x v="6"/>
    <n v="1905"/>
  </r>
  <r>
    <s v="ORD-1200"/>
    <x v="6"/>
    <n v="14"/>
    <n v="2022"/>
    <s v="Central"/>
    <s v="Technology"/>
    <s v="Printer"/>
    <n v="6"/>
    <n v="780.3"/>
    <n v="46.61"/>
    <s v="14/6/2022"/>
    <x v="6"/>
    <n v="1905"/>
  </r>
  <r>
    <s v="ORD-1201"/>
    <x v="2"/>
    <n v="10"/>
    <n v="2023"/>
    <s v="Central"/>
    <s v="Furniture"/>
    <s v="Filing Cabinet"/>
    <n v="5"/>
    <n v="651.95000000000005"/>
    <n v="34.54"/>
    <s v="10/5/2023"/>
    <x v="2"/>
    <n v="1905"/>
  </r>
  <r>
    <s v="ORD-1202"/>
    <x v="10"/>
    <n v="1"/>
    <n v="2022"/>
    <s v="South"/>
    <s v="Office Supplies"/>
    <s v="Stapler"/>
    <n v="5"/>
    <n v="1638.6"/>
    <n v="339.1"/>
    <s v="1/7/2022"/>
    <x v="10"/>
    <n v="1905"/>
  </r>
  <r>
    <s v="ORD-1203"/>
    <x v="7"/>
    <n v="2"/>
    <n v="2022"/>
    <s v="Central"/>
    <s v="Furniture"/>
    <s v="Chair"/>
    <n v="9"/>
    <n v="2058.21"/>
    <n v="542.34"/>
    <s v="2/8/2022"/>
    <x v="7"/>
    <n v="1905"/>
  </r>
  <r>
    <s v="ORD-1204"/>
    <x v="0"/>
    <n v="21"/>
    <n v="2022"/>
    <s v="South"/>
    <s v="Technology"/>
    <s v="Printer"/>
    <n v="3"/>
    <n v="3283.68"/>
    <n v="255.82"/>
    <s v="21/4/2022"/>
    <x v="0"/>
    <n v="1905"/>
  </r>
  <r>
    <s v="ORD-1205"/>
    <x v="6"/>
    <n v="4"/>
    <n v="2022"/>
    <s v="Central"/>
    <s v="Office Supplies"/>
    <s v="Notepad"/>
    <n v="2"/>
    <n v="1373.7"/>
    <n v="202.17"/>
    <s v="4/6/2022"/>
    <x v="6"/>
    <n v="1905"/>
  </r>
  <r>
    <s v="ORD-1206"/>
    <x v="1"/>
    <n v="26"/>
    <n v="2023"/>
    <s v="South"/>
    <s v="Office Supplies"/>
    <s v="Notepad"/>
    <n v="5"/>
    <n v="4616.1000000000004"/>
    <n v="592.27"/>
    <s v="26/11/2023"/>
    <x v="1"/>
    <n v="1905"/>
  </r>
  <r>
    <s v="ORD-1207"/>
    <x v="11"/>
    <n v="13"/>
    <n v="2023"/>
    <s v="West"/>
    <s v="Office Supplies"/>
    <s v="Stapler"/>
    <n v="6"/>
    <n v="5523.6"/>
    <n v="1549.39"/>
    <s v="13/9/2023"/>
    <x v="11"/>
    <n v="1905"/>
  </r>
  <r>
    <s v="ORD-1208"/>
    <x v="4"/>
    <n v="16"/>
    <n v="2023"/>
    <s v="West"/>
    <s v="Technology"/>
    <s v="Laptop"/>
    <n v="7"/>
    <n v="4148.76"/>
    <n v="220.03"/>
    <s v="16/3/2023"/>
    <x v="4"/>
    <n v="1905"/>
  </r>
  <r>
    <s v="ORD-1209"/>
    <x v="10"/>
    <n v="26"/>
    <n v="2023"/>
    <s v="Central"/>
    <s v="Technology"/>
    <s v="Laptop"/>
    <n v="7"/>
    <n v="3723.58"/>
    <n v="999.59"/>
    <s v="26/7/2023"/>
    <x v="10"/>
    <n v="1905"/>
  </r>
  <r>
    <s v="ORD-1210"/>
    <x v="10"/>
    <n v="1"/>
    <n v="2022"/>
    <s v="South"/>
    <s v="Office Supplies"/>
    <s v="Stapler"/>
    <n v="9"/>
    <n v="7297.29"/>
    <n v="2138"/>
    <s v="1/7/2022"/>
    <x v="10"/>
    <n v="1905"/>
  </r>
  <r>
    <s v="ORD-1211"/>
    <x v="3"/>
    <n v="3"/>
    <n v="2022"/>
    <s v="West"/>
    <s v="Technology"/>
    <s v="Laptop"/>
    <n v="9"/>
    <n v="10086.48"/>
    <n v="2456.9899999999998"/>
    <s v="3/12/2022"/>
    <x v="3"/>
    <n v="1905"/>
  </r>
  <r>
    <s v="ORD-1212"/>
    <x v="7"/>
    <n v="18"/>
    <n v="2022"/>
    <s v="West"/>
    <s v="Office Supplies"/>
    <s v="Pen"/>
    <n v="7"/>
    <n v="5320.77"/>
    <n v="741.76"/>
    <s v="18/8/2022"/>
    <x v="7"/>
    <n v="1905"/>
  </r>
  <r>
    <s v="ORD-1213"/>
    <x v="3"/>
    <n v="3"/>
    <n v="2023"/>
    <s v="South"/>
    <s v="Furniture"/>
    <s v="Filing Cabinet"/>
    <n v="5"/>
    <n v="6579.7"/>
    <n v="365.61"/>
    <s v="3/12/2023"/>
    <x v="3"/>
    <n v="1905"/>
  </r>
  <r>
    <s v="ORD-1214"/>
    <x v="11"/>
    <n v="27"/>
    <n v="2023"/>
    <s v="East"/>
    <s v="Technology"/>
    <s v="Printer"/>
    <n v="2"/>
    <n v="158.58000000000001"/>
    <n v="17.059999999999999"/>
    <s v="27/9/2023"/>
    <x v="11"/>
    <n v="1905"/>
  </r>
  <r>
    <s v="ORD-1215"/>
    <x v="9"/>
    <n v="18"/>
    <n v="2022"/>
    <s v="West"/>
    <s v="Technology"/>
    <s v="Keyboard"/>
    <n v="4"/>
    <n v="4582.6400000000003"/>
    <n v="740.58"/>
    <s v="18/10/2022"/>
    <x v="9"/>
    <n v="1905"/>
  </r>
  <r>
    <s v="ORD-1216"/>
    <x v="10"/>
    <n v="9"/>
    <n v="2022"/>
    <s v="Central"/>
    <s v="Technology"/>
    <s v="Laptop"/>
    <n v="9"/>
    <n v="3346.65"/>
    <n v="694.15"/>
    <s v="9/7/2022"/>
    <x v="10"/>
    <n v="1905"/>
  </r>
  <r>
    <s v="ORD-1217"/>
    <x v="8"/>
    <n v="27"/>
    <n v="2023"/>
    <s v="South"/>
    <s v="Furniture"/>
    <s v="Chair"/>
    <n v="4"/>
    <n v="2387.1999999999998"/>
    <n v="488.18"/>
    <s v="27/2/2023"/>
    <x v="8"/>
    <n v="1905"/>
  </r>
  <r>
    <s v="ORD-1218"/>
    <x v="8"/>
    <n v="11"/>
    <n v="2022"/>
    <s v="Central"/>
    <s v="Office Supplies"/>
    <s v="Pen"/>
    <n v="1"/>
    <n v="1394.93"/>
    <n v="406.64"/>
    <s v="11/2/2022"/>
    <x v="8"/>
    <n v="1905"/>
  </r>
  <r>
    <s v="ORD-1219"/>
    <x v="11"/>
    <n v="5"/>
    <n v="2023"/>
    <s v="West"/>
    <s v="Office Supplies"/>
    <s v="Paper"/>
    <n v="6"/>
    <n v="7284.66"/>
    <n v="1915.99"/>
    <s v="5/9/2023"/>
    <x v="11"/>
    <n v="1905"/>
  </r>
  <r>
    <s v="ORD-1220"/>
    <x v="7"/>
    <n v="8"/>
    <n v="2022"/>
    <s v="Central"/>
    <s v="Technology"/>
    <s v="Laptop"/>
    <n v="2"/>
    <n v="33.200000000000003"/>
    <n v="9.66"/>
    <s v="8/8/2022"/>
    <x v="7"/>
    <n v="1905"/>
  </r>
  <r>
    <s v="ORD-1221"/>
    <x v="0"/>
    <n v="17"/>
    <n v="2022"/>
    <s v="South"/>
    <s v="Office Supplies"/>
    <s v="Notepad"/>
    <n v="5"/>
    <n v="6982.25"/>
    <n v="1340.84"/>
    <s v="17/4/2022"/>
    <x v="0"/>
    <n v="1905"/>
  </r>
  <r>
    <s v="ORD-1222"/>
    <x v="7"/>
    <n v="14"/>
    <n v="2023"/>
    <s v="East"/>
    <s v="Office Supplies"/>
    <s v="Stapler"/>
    <n v="9"/>
    <n v="10591.11"/>
    <n v="548.82000000000005"/>
    <s v="14/8/2023"/>
    <x v="7"/>
    <n v="1905"/>
  </r>
  <r>
    <s v="ORD-1223"/>
    <x v="6"/>
    <n v="11"/>
    <n v="2022"/>
    <s v="Central"/>
    <s v="Furniture"/>
    <s v="Chair"/>
    <n v="1"/>
    <n v="122.79"/>
    <n v="24.72"/>
    <s v="11/6/2022"/>
    <x v="6"/>
    <n v="1905"/>
  </r>
  <r>
    <s v="ORD-1224"/>
    <x v="6"/>
    <n v="25"/>
    <n v="2022"/>
    <s v="South"/>
    <s v="Office Supplies"/>
    <s v="Stapler"/>
    <n v="5"/>
    <n v="477.4"/>
    <n v="105.59"/>
    <s v="25/6/2022"/>
    <x v="6"/>
    <n v="1905"/>
  </r>
  <r>
    <s v="ORD-1225"/>
    <x v="8"/>
    <n v="12"/>
    <n v="2022"/>
    <s v="South"/>
    <s v="Technology"/>
    <s v="Monitor"/>
    <n v="1"/>
    <n v="945.32"/>
    <n v="116.61"/>
    <s v="12/2/2022"/>
    <x v="8"/>
    <n v="1905"/>
  </r>
  <r>
    <s v="ORD-1226"/>
    <x v="10"/>
    <n v="14"/>
    <n v="2023"/>
    <s v="Central"/>
    <s v="Office Supplies"/>
    <s v="Paper"/>
    <n v="5"/>
    <n v="5342.4"/>
    <n v="1545.33"/>
    <s v="14/7/2023"/>
    <x v="10"/>
    <n v="1905"/>
  </r>
  <r>
    <s v="ORD-1227"/>
    <x v="11"/>
    <n v="25"/>
    <n v="2022"/>
    <s v="Central"/>
    <s v="Office Supplies"/>
    <s v="Paper"/>
    <n v="5"/>
    <n v="5704.35"/>
    <n v="1491.85"/>
    <s v="25/9/2022"/>
    <x v="11"/>
    <n v="1905"/>
  </r>
  <r>
    <s v="ORD-1228"/>
    <x v="4"/>
    <n v="8"/>
    <n v="2022"/>
    <s v="South"/>
    <s v="Office Supplies"/>
    <s v="Stapler"/>
    <n v="7"/>
    <n v="4519.62"/>
    <n v="637.99"/>
    <s v="8/3/2022"/>
    <x v="4"/>
    <n v="1905"/>
  </r>
  <r>
    <s v="ORD-1229"/>
    <x v="3"/>
    <n v="2"/>
    <n v="2022"/>
    <s v="East"/>
    <s v="Technology"/>
    <s v="Monitor"/>
    <n v="6"/>
    <n v="7736.64"/>
    <n v="1845.08"/>
    <s v="2/12/2022"/>
    <x v="3"/>
    <n v="1905"/>
  </r>
  <r>
    <s v="ORD-1230"/>
    <x v="11"/>
    <n v="21"/>
    <n v="2022"/>
    <s v="Central"/>
    <s v="Office Supplies"/>
    <s v="Paper"/>
    <n v="6"/>
    <n v="8639.52"/>
    <n v="1888.69"/>
    <s v="21/9/2022"/>
    <x v="11"/>
    <n v="1905"/>
  </r>
  <r>
    <s v="ORD-1231"/>
    <x v="0"/>
    <n v="25"/>
    <n v="2023"/>
    <s v="West"/>
    <s v="Technology"/>
    <s v="Monitor"/>
    <n v="3"/>
    <n v="3323.07"/>
    <n v="463.36"/>
    <s v="25/4/2023"/>
    <x v="0"/>
    <n v="1905"/>
  </r>
  <r>
    <s v="ORD-1232"/>
    <x v="0"/>
    <n v="2"/>
    <n v="2023"/>
    <s v="West"/>
    <s v="Technology"/>
    <s v="Monitor"/>
    <n v="2"/>
    <n v="2129.3200000000002"/>
    <n v="416.36"/>
    <s v="2/4/2023"/>
    <x v="0"/>
    <n v="1905"/>
  </r>
  <r>
    <s v="ORD-1233"/>
    <x v="9"/>
    <n v="6"/>
    <n v="2022"/>
    <s v="West"/>
    <s v="Furniture"/>
    <s v="Bookcase"/>
    <n v="6"/>
    <n v="4974.42"/>
    <n v="1426.38"/>
    <s v="6/10/2022"/>
    <x v="9"/>
    <n v="1905"/>
  </r>
  <r>
    <s v="ORD-1234"/>
    <x v="6"/>
    <n v="6"/>
    <n v="2023"/>
    <s v="East"/>
    <s v="Technology"/>
    <s v="Keyboard"/>
    <n v="8"/>
    <n v="10285.36"/>
    <n v="1177.3800000000001"/>
    <s v="6/6/2023"/>
    <x v="6"/>
    <n v="1905"/>
  </r>
  <r>
    <s v="ORD-1235"/>
    <x v="11"/>
    <n v="17"/>
    <n v="2023"/>
    <s v="East"/>
    <s v="Technology"/>
    <s v="Monitor"/>
    <n v="5"/>
    <n v="4386.5"/>
    <n v="1300.51"/>
    <s v="17/9/2023"/>
    <x v="11"/>
    <n v="1905"/>
  </r>
  <r>
    <s v="ORD-1236"/>
    <x v="10"/>
    <n v="5"/>
    <n v="2022"/>
    <s v="East"/>
    <s v="Office Supplies"/>
    <s v="Stapler"/>
    <n v="6"/>
    <n v="1755.42"/>
    <n v="325.02999999999997"/>
    <s v="5/7/2022"/>
    <x v="10"/>
    <n v="1905"/>
  </r>
  <r>
    <s v="ORD-1237"/>
    <x v="4"/>
    <n v="4"/>
    <n v="2023"/>
    <s v="Central"/>
    <s v="Technology"/>
    <s v="Monitor"/>
    <n v="2"/>
    <n v="1225.3800000000001"/>
    <n v="177.48"/>
    <s v="4/3/2023"/>
    <x v="4"/>
    <n v="1905"/>
  </r>
  <r>
    <s v="ORD-1238"/>
    <x v="1"/>
    <n v="5"/>
    <n v="2023"/>
    <s v="East"/>
    <s v="Technology"/>
    <s v="Keyboard"/>
    <n v="3"/>
    <n v="2724.09"/>
    <n v="322.57"/>
    <s v="5/11/2023"/>
    <x v="1"/>
    <n v="1905"/>
  </r>
  <r>
    <s v="ORD-1239"/>
    <x v="11"/>
    <n v="21"/>
    <n v="2023"/>
    <s v="West"/>
    <s v="Office Supplies"/>
    <s v="Pen"/>
    <n v="8"/>
    <n v="8669.2800000000007"/>
    <n v="890.53"/>
    <s v="21/9/2023"/>
    <x v="11"/>
    <n v="1905"/>
  </r>
  <r>
    <s v="ORD-1240"/>
    <x v="8"/>
    <n v="3"/>
    <n v="2022"/>
    <s v="West"/>
    <s v="Furniture"/>
    <s v="Filing Cabinet"/>
    <n v="2"/>
    <n v="1000.46"/>
    <n v="147.24"/>
    <s v="3/2/2022"/>
    <x v="8"/>
    <n v="1905"/>
  </r>
  <r>
    <s v="ORD-1241"/>
    <x v="4"/>
    <n v="2"/>
    <n v="2022"/>
    <s v="South"/>
    <s v="Office Supplies"/>
    <s v="Notepad"/>
    <n v="1"/>
    <n v="1276.3800000000001"/>
    <n v="342.96"/>
    <s v="2/3/2022"/>
    <x v="4"/>
    <n v="1905"/>
  </r>
  <r>
    <s v="ORD-1242"/>
    <x v="11"/>
    <n v="27"/>
    <n v="2023"/>
    <s v="South"/>
    <s v="Technology"/>
    <s v="Monitor"/>
    <n v="3"/>
    <n v="4250.5200000000004"/>
    <n v="974.42"/>
    <s v="27/9/2023"/>
    <x v="11"/>
    <n v="1905"/>
  </r>
  <r>
    <s v="ORD-1243"/>
    <x v="0"/>
    <n v="1"/>
    <n v="2023"/>
    <s v="Central"/>
    <s v="Office Supplies"/>
    <s v="Notepad"/>
    <n v="9"/>
    <n v="5558.76"/>
    <n v="829.56"/>
    <s v="1/4/2023"/>
    <x v="0"/>
    <n v="1905"/>
  </r>
  <r>
    <s v="ORD-1244"/>
    <x v="8"/>
    <n v="21"/>
    <n v="2023"/>
    <s v="West"/>
    <s v="Technology"/>
    <s v="Keyboard"/>
    <n v="7"/>
    <n v="7253.54"/>
    <n v="1426.57"/>
    <s v="21/2/2023"/>
    <x v="8"/>
    <n v="1905"/>
  </r>
  <r>
    <s v="ORD-1245"/>
    <x v="1"/>
    <n v="16"/>
    <n v="2022"/>
    <s v="East"/>
    <s v="Furniture"/>
    <s v="Table"/>
    <n v="6"/>
    <n v="3458.1"/>
    <n v="415.14"/>
    <s v="16/11/2022"/>
    <x v="1"/>
    <n v="1905"/>
  </r>
  <r>
    <s v="ORD-1246"/>
    <x v="2"/>
    <n v="11"/>
    <n v="2023"/>
    <s v="South"/>
    <s v="Technology"/>
    <s v="Laptop"/>
    <n v="6"/>
    <n v="4775.9399999999996"/>
    <n v="342.31"/>
    <s v="11/5/2023"/>
    <x v="2"/>
    <n v="1905"/>
  </r>
  <r>
    <s v="ORD-1247"/>
    <x v="4"/>
    <n v="10"/>
    <n v="2022"/>
    <s v="West"/>
    <s v="Technology"/>
    <s v="Monitor"/>
    <n v="1"/>
    <n v="1081.4000000000001"/>
    <n v="147.91"/>
    <s v="10/3/2022"/>
    <x v="4"/>
    <n v="1905"/>
  </r>
  <r>
    <s v="ORD-1248"/>
    <x v="0"/>
    <n v="3"/>
    <n v="2023"/>
    <s v="Central"/>
    <s v="Furniture"/>
    <s v="Bookcase"/>
    <n v="2"/>
    <n v="2804.46"/>
    <n v="715.26"/>
    <s v="3/4/2023"/>
    <x v="0"/>
    <n v="1905"/>
  </r>
  <r>
    <s v="ORD-1249"/>
    <x v="10"/>
    <n v="1"/>
    <n v="2023"/>
    <s v="West"/>
    <s v="Furniture"/>
    <s v="Table"/>
    <n v="7"/>
    <n v="10298.89"/>
    <n v="676.85"/>
    <s v="1/7/2023"/>
    <x v="10"/>
    <n v="1905"/>
  </r>
  <r>
    <s v="ORD-1250"/>
    <x v="2"/>
    <n v="7"/>
    <n v="2023"/>
    <s v="Central"/>
    <s v="Office Supplies"/>
    <s v="Notepad"/>
    <n v="2"/>
    <n v="2947.86"/>
    <n v="592.24"/>
    <s v="7/5/2023"/>
    <x v="2"/>
    <n v="1905"/>
  </r>
  <r>
    <s v="ORD-1251"/>
    <x v="5"/>
    <n v="27"/>
    <n v="2022"/>
    <s v="East"/>
    <s v="Office Supplies"/>
    <s v="Pen"/>
    <n v="5"/>
    <n v="2094.4"/>
    <n v="156.29"/>
    <s v="27/1/2022"/>
    <x v="5"/>
    <n v="1905"/>
  </r>
  <r>
    <s v="ORD-1252"/>
    <x v="0"/>
    <n v="13"/>
    <n v="2022"/>
    <s v="West"/>
    <s v="Furniture"/>
    <s v="Bookcase"/>
    <n v="4"/>
    <n v="3788.4"/>
    <n v="342.16"/>
    <s v="13/4/2022"/>
    <x v="0"/>
    <n v="1905"/>
  </r>
  <r>
    <s v="ORD-1253"/>
    <x v="1"/>
    <n v="22"/>
    <n v="2023"/>
    <s v="Central"/>
    <s v="Furniture"/>
    <s v="Table"/>
    <n v="2"/>
    <n v="644.26"/>
    <n v="129.1"/>
    <s v="22/11/2023"/>
    <x v="1"/>
    <n v="1905"/>
  </r>
  <r>
    <s v="ORD-1254"/>
    <x v="2"/>
    <n v="21"/>
    <n v="2023"/>
    <s v="West"/>
    <s v="Office Supplies"/>
    <s v="Paper"/>
    <n v="2"/>
    <n v="2477.16"/>
    <n v="174.3"/>
    <s v="21/5/2023"/>
    <x v="2"/>
    <n v="1905"/>
  </r>
  <r>
    <s v="ORD-1255"/>
    <x v="7"/>
    <n v="12"/>
    <n v="2023"/>
    <s v="East"/>
    <s v="Technology"/>
    <s v="Monitor"/>
    <n v="9"/>
    <n v="753.48"/>
    <n v="42.32"/>
    <s v="12/8/2023"/>
    <x v="7"/>
    <n v="1905"/>
  </r>
  <r>
    <s v="ORD-1256"/>
    <x v="0"/>
    <n v="5"/>
    <n v="2022"/>
    <s v="East"/>
    <s v="Technology"/>
    <s v="Monitor"/>
    <n v="4"/>
    <n v="4057.24"/>
    <n v="402.26"/>
    <s v="5/4/2022"/>
    <x v="0"/>
    <n v="1905"/>
  </r>
  <r>
    <s v="ORD-1257"/>
    <x v="11"/>
    <n v="17"/>
    <n v="2023"/>
    <s v="South"/>
    <s v="Technology"/>
    <s v="Laptop"/>
    <n v="9"/>
    <n v="8178.03"/>
    <n v="1831.58"/>
    <s v="17/9/2023"/>
    <x v="11"/>
    <n v="1905"/>
  </r>
  <r>
    <s v="ORD-1258"/>
    <x v="0"/>
    <n v="18"/>
    <n v="2023"/>
    <s v="South"/>
    <s v="Technology"/>
    <s v="Printer"/>
    <n v="7"/>
    <n v="8024.45"/>
    <n v="549.66999999999996"/>
    <s v="18/4/2023"/>
    <x v="0"/>
    <n v="1905"/>
  </r>
  <r>
    <s v="ORD-1259"/>
    <x v="3"/>
    <n v="16"/>
    <n v="2023"/>
    <s v="Central"/>
    <s v="Technology"/>
    <s v="Printer"/>
    <n v="9"/>
    <n v="4461.84"/>
    <n v="905.09"/>
    <s v="16/12/2023"/>
    <x v="3"/>
    <n v="1905"/>
  </r>
  <r>
    <s v="ORD-1260"/>
    <x v="2"/>
    <n v="2"/>
    <n v="2022"/>
    <s v="West"/>
    <s v="Furniture"/>
    <s v="Filing Cabinet"/>
    <n v="7"/>
    <n v="5049.8"/>
    <n v="1237.8"/>
    <s v="2/5/2022"/>
    <x v="2"/>
    <n v="1905"/>
  </r>
  <r>
    <s v="ORD-1261"/>
    <x v="0"/>
    <n v="2"/>
    <n v="2022"/>
    <s v="West"/>
    <s v="Technology"/>
    <s v="Keyboard"/>
    <n v="4"/>
    <n v="3734.16"/>
    <n v="229.35"/>
    <s v="2/4/2022"/>
    <x v="0"/>
    <n v="1905"/>
  </r>
  <r>
    <s v="ORD-1262"/>
    <x v="6"/>
    <n v="12"/>
    <n v="2023"/>
    <s v="South"/>
    <s v="Office Supplies"/>
    <s v="Notepad"/>
    <n v="1"/>
    <n v="932.77"/>
    <n v="69.58"/>
    <s v="12/6/2023"/>
    <x v="6"/>
    <n v="1905"/>
  </r>
  <r>
    <s v="ORD-1263"/>
    <x v="9"/>
    <n v="11"/>
    <n v="2023"/>
    <s v="East"/>
    <s v="Office Supplies"/>
    <s v="Pen"/>
    <n v="9"/>
    <n v="11506.86"/>
    <n v="2369.86"/>
    <s v="11/10/2023"/>
    <x v="9"/>
    <n v="1905"/>
  </r>
  <r>
    <s v="ORD-1264"/>
    <x v="11"/>
    <n v="21"/>
    <n v="2023"/>
    <s v="Central"/>
    <s v="Technology"/>
    <s v="Printer"/>
    <n v="1"/>
    <n v="374.83"/>
    <n v="35.11"/>
    <s v="21/9/2023"/>
    <x v="11"/>
    <n v="1905"/>
  </r>
  <r>
    <s v="ORD-1265"/>
    <x v="2"/>
    <n v="26"/>
    <n v="2022"/>
    <s v="West"/>
    <s v="Technology"/>
    <s v="Laptop"/>
    <n v="1"/>
    <n v="351.43"/>
    <n v="67.47"/>
    <s v="26/5/2022"/>
    <x v="2"/>
    <n v="1905"/>
  </r>
  <r>
    <s v="ORD-1266"/>
    <x v="7"/>
    <n v="19"/>
    <n v="2023"/>
    <s v="East"/>
    <s v="Furniture"/>
    <s v="Bookcase"/>
    <n v="8"/>
    <n v="2526.8000000000002"/>
    <n v="572.39"/>
    <s v="19/8/2023"/>
    <x v="7"/>
    <n v="1905"/>
  </r>
  <r>
    <s v="ORD-1267"/>
    <x v="6"/>
    <n v="2"/>
    <n v="2022"/>
    <s v="West"/>
    <s v="Furniture"/>
    <s v="Bookcase"/>
    <n v="9"/>
    <n v="3881.97"/>
    <n v="848.05"/>
    <s v="2/6/2022"/>
    <x v="6"/>
    <n v="1905"/>
  </r>
  <r>
    <s v="ORD-1268"/>
    <x v="2"/>
    <n v="26"/>
    <n v="2023"/>
    <s v="East"/>
    <s v="Technology"/>
    <s v="Keyboard"/>
    <n v="4"/>
    <n v="2038.48"/>
    <n v="362.14"/>
    <s v="26/5/2023"/>
    <x v="2"/>
    <n v="1905"/>
  </r>
  <r>
    <s v="ORD-1269"/>
    <x v="6"/>
    <n v="22"/>
    <n v="2022"/>
    <s v="Central"/>
    <s v="Technology"/>
    <s v="Keyboard"/>
    <n v="4"/>
    <n v="4578.8"/>
    <n v="999.22"/>
    <s v="22/6/2022"/>
    <x v="6"/>
    <n v="1905"/>
  </r>
  <r>
    <s v="ORD-1270"/>
    <x v="2"/>
    <n v="3"/>
    <n v="2022"/>
    <s v="East"/>
    <s v="Technology"/>
    <s v="Monitor"/>
    <n v="2"/>
    <n v="1640.44"/>
    <n v="270.67"/>
    <s v="3/5/2022"/>
    <x v="2"/>
    <n v="1905"/>
  </r>
  <r>
    <s v="ORD-1271"/>
    <x v="1"/>
    <n v="3"/>
    <n v="2022"/>
    <s v="West"/>
    <s v="Technology"/>
    <s v="Keyboard"/>
    <n v="4"/>
    <n v="2737.92"/>
    <n v="540.16999999999996"/>
    <s v="3/11/2022"/>
    <x v="1"/>
    <n v="1905"/>
  </r>
  <r>
    <s v="ORD-1272"/>
    <x v="3"/>
    <n v="6"/>
    <n v="2022"/>
    <s v="Central"/>
    <s v="Technology"/>
    <s v="Laptop"/>
    <n v="4"/>
    <n v="5935.28"/>
    <n v="548.36"/>
    <s v="6/12/2022"/>
    <x v="3"/>
    <n v="1905"/>
  </r>
  <r>
    <s v="ORD-1273"/>
    <x v="11"/>
    <n v="23"/>
    <n v="2023"/>
    <s v="Central"/>
    <s v="Office Supplies"/>
    <s v="Pen"/>
    <n v="8"/>
    <n v="7512.48"/>
    <n v="1730.72"/>
    <s v="23/9/2023"/>
    <x v="11"/>
    <n v="1905"/>
  </r>
  <r>
    <s v="ORD-1274"/>
    <x v="4"/>
    <n v="24"/>
    <n v="2022"/>
    <s v="West"/>
    <s v="Office Supplies"/>
    <s v="Pen"/>
    <n v="3"/>
    <n v="3590.46"/>
    <n v="692.78"/>
    <s v="24/3/2022"/>
    <x v="4"/>
    <n v="1905"/>
  </r>
  <r>
    <s v="ORD-1275"/>
    <x v="3"/>
    <n v="31"/>
    <n v="2022"/>
    <s v="South"/>
    <s v="Technology"/>
    <s v="Monitor"/>
    <n v="8"/>
    <n v="11622.24"/>
    <n v="745.71"/>
    <s v="31/12/2022"/>
    <x v="3"/>
    <n v="1905"/>
  </r>
  <r>
    <s v="ORD-1276"/>
    <x v="2"/>
    <n v="22"/>
    <n v="2023"/>
    <s v="East"/>
    <s v="Office Supplies"/>
    <s v="Stapler"/>
    <n v="6"/>
    <n v="288.54000000000002"/>
    <n v="21.59"/>
    <s v="22/5/2023"/>
    <x v="2"/>
    <n v="1905"/>
  </r>
  <r>
    <s v="ORD-1277"/>
    <x v="1"/>
    <n v="13"/>
    <n v="2022"/>
    <s v="East"/>
    <s v="Technology"/>
    <s v="Monitor"/>
    <n v="8"/>
    <n v="3729.28"/>
    <n v="475.23"/>
    <s v="13/11/2022"/>
    <x v="1"/>
    <n v="1905"/>
  </r>
  <r>
    <s v="ORD-1278"/>
    <x v="8"/>
    <n v="11"/>
    <n v="2022"/>
    <s v="Central"/>
    <s v="Technology"/>
    <s v="Laptop"/>
    <n v="2"/>
    <n v="743.84"/>
    <n v="114.89"/>
    <s v="11/2/2022"/>
    <x v="8"/>
    <n v="1905"/>
  </r>
  <r>
    <s v="ORD-1279"/>
    <x v="5"/>
    <n v="15"/>
    <n v="2023"/>
    <s v="West"/>
    <s v="Office Supplies"/>
    <s v="Pen"/>
    <n v="2"/>
    <n v="2622.8"/>
    <n v="327.08999999999997"/>
    <s v="15/1/2023"/>
    <x v="5"/>
    <n v="1905"/>
  </r>
  <r>
    <s v="ORD-1280"/>
    <x v="8"/>
    <n v="26"/>
    <n v="2022"/>
    <s v="South"/>
    <s v="Office Supplies"/>
    <s v="Pen"/>
    <n v="9"/>
    <n v="6896.52"/>
    <n v="1515.09"/>
    <s v="26/2/2022"/>
    <x v="8"/>
    <n v="1905"/>
  </r>
  <r>
    <s v="ORD-1281"/>
    <x v="6"/>
    <n v="10"/>
    <n v="2022"/>
    <s v="Central"/>
    <s v="Technology"/>
    <s v="Keyboard"/>
    <n v="7"/>
    <n v="8331.5400000000009"/>
    <n v="1304.5999999999999"/>
    <s v="10/6/2022"/>
    <x v="6"/>
    <n v="1905"/>
  </r>
  <r>
    <s v="ORD-1282"/>
    <x v="9"/>
    <n v="10"/>
    <n v="2023"/>
    <s v="West"/>
    <s v="Furniture"/>
    <s v="Table"/>
    <n v="4"/>
    <n v="1635.04"/>
    <n v="275.98"/>
    <s v="10/10/2023"/>
    <x v="9"/>
    <n v="1905"/>
  </r>
  <r>
    <s v="ORD-1283"/>
    <x v="11"/>
    <n v="2"/>
    <n v="2022"/>
    <s v="Central"/>
    <s v="Furniture"/>
    <s v="Bookcase"/>
    <n v="8"/>
    <n v="5268.24"/>
    <n v="595.41"/>
    <s v="2/9/2022"/>
    <x v="11"/>
    <n v="1905"/>
  </r>
  <r>
    <s v="ORD-1284"/>
    <x v="3"/>
    <n v="29"/>
    <n v="2022"/>
    <s v="East"/>
    <s v="Office Supplies"/>
    <s v="Notepad"/>
    <n v="8"/>
    <n v="7121.12"/>
    <n v="2055.46"/>
    <s v="29/12/2022"/>
    <x v="3"/>
    <n v="1905"/>
  </r>
  <r>
    <s v="ORD-1285"/>
    <x v="11"/>
    <n v="29"/>
    <n v="2023"/>
    <s v="Central"/>
    <s v="Office Supplies"/>
    <s v="Pen"/>
    <n v="4"/>
    <n v="497.32"/>
    <n v="142.12"/>
    <s v="29/9/2023"/>
    <x v="11"/>
    <n v="1905"/>
  </r>
  <r>
    <s v="ORD-1286"/>
    <x v="4"/>
    <n v="5"/>
    <n v="2023"/>
    <s v="West"/>
    <s v="Office Supplies"/>
    <s v="Notepad"/>
    <n v="3"/>
    <n v="1536.18"/>
    <n v="360.98"/>
    <s v="5/3/2023"/>
    <x v="4"/>
    <n v="1905"/>
  </r>
  <r>
    <s v="ORD-1287"/>
    <x v="0"/>
    <n v="8"/>
    <n v="2023"/>
    <s v="West"/>
    <s v="Technology"/>
    <s v="Laptop"/>
    <n v="1"/>
    <n v="1270.6500000000001"/>
    <n v="178.63"/>
    <s v="8/4/2023"/>
    <x v="0"/>
    <n v="1905"/>
  </r>
  <r>
    <s v="ORD-1288"/>
    <x v="1"/>
    <n v="17"/>
    <n v="2022"/>
    <s v="East"/>
    <s v="Office Supplies"/>
    <s v="Pen"/>
    <n v="3"/>
    <n v="808.5"/>
    <n v="180.8"/>
    <s v="17/11/2022"/>
    <x v="1"/>
    <n v="1905"/>
  </r>
  <r>
    <s v="ORD-1289"/>
    <x v="6"/>
    <n v="5"/>
    <n v="2023"/>
    <s v="South"/>
    <s v="Technology"/>
    <s v="Monitor"/>
    <n v="7"/>
    <n v="4114.18"/>
    <n v="324.39999999999998"/>
    <s v="5/6/2023"/>
    <x v="6"/>
    <n v="1905"/>
  </r>
  <r>
    <s v="ORD-1290"/>
    <x v="10"/>
    <n v="23"/>
    <n v="2022"/>
    <s v="East"/>
    <s v="Furniture"/>
    <s v="Bookcase"/>
    <n v="8"/>
    <n v="4975.04"/>
    <n v="630.61"/>
    <s v="23/7/2022"/>
    <x v="10"/>
    <n v="1905"/>
  </r>
  <r>
    <s v="ORD-1291"/>
    <x v="6"/>
    <n v="3"/>
    <n v="2023"/>
    <s v="West"/>
    <s v="Furniture"/>
    <s v="Filing Cabinet"/>
    <n v="9"/>
    <n v="5833.26"/>
    <n v="1744.92"/>
    <s v="3/6/2023"/>
    <x v="6"/>
    <n v="1905"/>
  </r>
  <r>
    <s v="ORD-1292"/>
    <x v="11"/>
    <n v="16"/>
    <n v="2022"/>
    <s v="West"/>
    <s v="Office Supplies"/>
    <s v="Pen"/>
    <n v="1"/>
    <n v="1487.62"/>
    <n v="263.64"/>
    <s v="16/9/2022"/>
    <x v="11"/>
    <n v="1905"/>
  </r>
  <r>
    <s v="ORD-1293"/>
    <x v="4"/>
    <n v="17"/>
    <n v="2022"/>
    <s v="West"/>
    <s v="Furniture"/>
    <s v="Chair"/>
    <n v="4"/>
    <n v="2223.36"/>
    <n v="630.30999999999995"/>
    <s v="17/3/2022"/>
    <x v="4"/>
    <n v="1905"/>
  </r>
  <r>
    <s v="ORD-1294"/>
    <x v="5"/>
    <n v="9"/>
    <n v="2023"/>
    <s v="East"/>
    <s v="Furniture"/>
    <s v="Bookcase"/>
    <n v="8"/>
    <n v="632.96"/>
    <n v="67.48"/>
    <s v="9/1/2023"/>
    <x v="5"/>
    <n v="1905"/>
  </r>
  <r>
    <s v="ORD-1295"/>
    <x v="5"/>
    <n v="1"/>
    <n v="2022"/>
    <s v="East"/>
    <s v="Technology"/>
    <s v="Monitor"/>
    <n v="7"/>
    <n v="2894.5"/>
    <n v="462.67"/>
    <s v="1/1/2022"/>
    <x v="5"/>
    <n v="1905"/>
  </r>
  <r>
    <s v="ORD-1296"/>
    <x v="7"/>
    <n v="31"/>
    <n v="2022"/>
    <s v="Central"/>
    <s v="Furniture"/>
    <s v="Bookcase"/>
    <n v="9"/>
    <n v="3711.33"/>
    <n v="565.75"/>
    <s v="31/8/2022"/>
    <x v="7"/>
    <n v="1905"/>
  </r>
  <r>
    <s v="ORD-1297"/>
    <x v="6"/>
    <n v="25"/>
    <n v="2022"/>
    <s v="East"/>
    <s v="Office Supplies"/>
    <s v="Paper"/>
    <n v="2"/>
    <n v="127.62"/>
    <n v="21.57"/>
    <s v="25/6/2022"/>
    <x v="6"/>
    <n v="1905"/>
  </r>
  <r>
    <s v="ORD-1298"/>
    <x v="7"/>
    <n v="20"/>
    <n v="2023"/>
    <s v="West"/>
    <s v="Technology"/>
    <s v="Keyboard"/>
    <n v="6"/>
    <n v="2955.72"/>
    <n v="354.52"/>
    <s v="20/8/2023"/>
    <x v="7"/>
    <n v="1905"/>
  </r>
  <r>
    <s v="ORD-1299"/>
    <x v="2"/>
    <n v="2"/>
    <n v="2023"/>
    <s v="South"/>
    <s v="Technology"/>
    <s v="Keyboard"/>
    <n v="9"/>
    <n v="2420.1"/>
    <n v="175.85"/>
    <s v="2/5/2023"/>
    <x v="2"/>
    <n v="1905"/>
  </r>
  <r>
    <s v="ORD-1300"/>
    <x v="2"/>
    <n v="7"/>
    <n v="2023"/>
    <s v="Central"/>
    <s v="Furniture"/>
    <s v="Table"/>
    <n v="5"/>
    <n v="1539.35"/>
    <n v="293.16000000000003"/>
    <s v="7/5/2023"/>
    <x v="2"/>
    <n v="1905"/>
  </r>
  <r>
    <s v="ORD-1301"/>
    <x v="3"/>
    <n v="12"/>
    <n v="2022"/>
    <s v="South"/>
    <s v="Office Supplies"/>
    <s v="Paper"/>
    <n v="4"/>
    <n v="3454.24"/>
    <n v="743.91"/>
    <s v="12/12/2022"/>
    <x v="3"/>
    <n v="1905"/>
  </r>
  <r>
    <s v="ORD-1302"/>
    <x v="10"/>
    <n v="8"/>
    <n v="2023"/>
    <s v="South"/>
    <s v="Technology"/>
    <s v="Keyboard"/>
    <n v="4"/>
    <n v="1163.68"/>
    <n v="180.7"/>
    <s v="8/7/2023"/>
    <x v="10"/>
    <n v="1905"/>
  </r>
  <r>
    <s v="ORD-1303"/>
    <x v="0"/>
    <n v="30"/>
    <n v="2022"/>
    <s v="West"/>
    <s v="Furniture"/>
    <s v="Chair"/>
    <n v="9"/>
    <n v="10696.86"/>
    <n v="2944.12"/>
    <s v="30/4/2022"/>
    <x v="0"/>
    <n v="1905"/>
  </r>
  <r>
    <s v="ORD-1304"/>
    <x v="2"/>
    <n v="25"/>
    <n v="2022"/>
    <s v="West"/>
    <s v="Office Supplies"/>
    <s v="Notepad"/>
    <n v="5"/>
    <n v="2952.35"/>
    <n v="883.83"/>
    <s v="25/5/2022"/>
    <x v="2"/>
    <n v="1905"/>
  </r>
  <r>
    <s v="ORD-1305"/>
    <x v="1"/>
    <n v="13"/>
    <n v="2023"/>
    <s v="South"/>
    <s v="Office Supplies"/>
    <s v="Pen"/>
    <n v="6"/>
    <n v="5184.4799999999996"/>
    <n v="299.75"/>
    <s v="13/11/2023"/>
    <x v="1"/>
    <n v="1905"/>
  </r>
  <r>
    <s v="ORD-1306"/>
    <x v="1"/>
    <n v="2"/>
    <n v="2022"/>
    <s v="Central"/>
    <s v="Furniture"/>
    <s v="Table"/>
    <n v="6"/>
    <n v="6947.16"/>
    <n v="447.37"/>
    <s v="2/11/2022"/>
    <x v="1"/>
    <n v="1905"/>
  </r>
  <r>
    <s v="ORD-1307"/>
    <x v="10"/>
    <n v="22"/>
    <n v="2022"/>
    <s v="South"/>
    <s v="Furniture"/>
    <s v="Chair"/>
    <n v="6"/>
    <n v="1507.8"/>
    <n v="178.18"/>
    <s v="22/7/2022"/>
    <x v="10"/>
    <n v="1905"/>
  </r>
  <r>
    <s v="ORD-1308"/>
    <x v="8"/>
    <n v="25"/>
    <n v="2022"/>
    <s v="South"/>
    <s v="Technology"/>
    <s v="Monitor"/>
    <n v="5"/>
    <n v="6357.6"/>
    <n v="1759.44"/>
    <s v="25/2/2022"/>
    <x v="8"/>
    <n v="1905"/>
  </r>
  <r>
    <s v="ORD-1309"/>
    <x v="7"/>
    <n v="15"/>
    <n v="2023"/>
    <s v="West"/>
    <s v="Technology"/>
    <s v="Monitor"/>
    <n v="7"/>
    <n v="3125.01"/>
    <n v="652.62"/>
    <s v="15/8/2023"/>
    <x v="7"/>
    <n v="1905"/>
  </r>
  <r>
    <s v="ORD-1310"/>
    <x v="8"/>
    <n v="5"/>
    <n v="2022"/>
    <s v="East"/>
    <s v="Office Supplies"/>
    <s v="Notepad"/>
    <n v="6"/>
    <n v="1493.52"/>
    <n v="428.85"/>
    <s v="5/2/2022"/>
    <x v="8"/>
    <n v="1905"/>
  </r>
  <r>
    <s v="ORD-1311"/>
    <x v="11"/>
    <n v="6"/>
    <n v="2022"/>
    <s v="South"/>
    <s v="Furniture"/>
    <s v="Chair"/>
    <n v="9"/>
    <n v="11597.94"/>
    <n v="841.92"/>
    <s v="6/9/2022"/>
    <x v="11"/>
    <n v="1905"/>
  </r>
  <r>
    <s v="ORD-1312"/>
    <x v="7"/>
    <n v="30"/>
    <n v="2022"/>
    <s v="West"/>
    <s v="Furniture"/>
    <s v="Filing Cabinet"/>
    <n v="3"/>
    <n v="2222.0100000000002"/>
    <n v="233.14"/>
    <s v="30/8/2022"/>
    <x v="7"/>
    <n v="1905"/>
  </r>
  <r>
    <s v="ORD-1313"/>
    <x v="7"/>
    <n v="12"/>
    <n v="2022"/>
    <s v="South"/>
    <s v="Technology"/>
    <s v="Printer"/>
    <n v="4"/>
    <n v="1353.56"/>
    <n v="109.22"/>
    <s v="12/8/2022"/>
    <x v="7"/>
    <n v="1905"/>
  </r>
  <r>
    <s v="ORD-1314"/>
    <x v="7"/>
    <n v="21"/>
    <n v="2023"/>
    <s v="West"/>
    <s v="Office Supplies"/>
    <s v="Notepad"/>
    <n v="8"/>
    <n v="1753.68"/>
    <n v="123.15"/>
    <s v="21/8/2023"/>
    <x v="7"/>
    <n v="1905"/>
  </r>
  <r>
    <s v="ORD-1315"/>
    <x v="7"/>
    <n v="3"/>
    <n v="2022"/>
    <s v="West"/>
    <s v="Furniture"/>
    <s v="Table"/>
    <n v="3"/>
    <n v="1861.68"/>
    <n v="438.91"/>
    <s v="3/8/2022"/>
    <x v="7"/>
    <n v="1905"/>
  </r>
  <r>
    <s v="ORD-1316"/>
    <x v="11"/>
    <n v="10"/>
    <n v="2022"/>
    <s v="West"/>
    <s v="Furniture"/>
    <s v="Bookcase"/>
    <n v="2"/>
    <n v="1976.68"/>
    <n v="155.49"/>
    <s v="10/9/2022"/>
    <x v="11"/>
    <n v="1905"/>
  </r>
  <r>
    <s v="ORD-1317"/>
    <x v="6"/>
    <n v="28"/>
    <n v="2022"/>
    <s v="East"/>
    <s v="Technology"/>
    <s v="Monitor"/>
    <n v="5"/>
    <n v="5369.45"/>
    <n v="777.45"/>
    <s v="28/6/2022"/>
    <x v="6"/>
    <n v="1905"/>
  </r>
  <r>
    <s v="ORD-1318"/>
    <x v="8"/>
    <n v="17"/>
    <n v="2023"/>
    <s v="South"/>
    <s v="Technology"/>
    <s v="Laptop"/>
    <n v="5"/>
    <n v="2681.95"/>
    <n v="552.01"/>
    <s v="17/2/2023"/>
    <x v="8"/>
    <n v="1905"/>
  </r>
  <r>
    <s v="ORD-1319"/>
    <x v="8"/>
    <n v="6"/>
    <n v="2022"/>
    <s v="Central"/>
    <s v="Technology"/>
    <s v="Laptop"/>
    <n v="8"/>
    <n v="9643.6"/>
    <n v="783.12"/>
    <s v="6/2/2022"/>
    <x v="8"/>
    <n v="1905"/>
  </r>
  <r>
    <s v="ORD-1320"/>
    <x v="4"/>
    <n v="30"/>
    <n v="2023"/>
    <s v="Central"/>
    <s v="Technology"/>
    <s v="Keyboard"/>
    <n v="9"/>
    <n v="8156.34"/>
    <n v="475.97"/>
    <s v="30/3/2023"/>
    <x v="4"/>
    <n v="1905"/>
  </r>
  <r>
    <s v="ORD-1321"/>
    <x v="6"/>
    <n v="21"/>
    <n v="2022"/>
    <s v="Central"/>
    <s v="Office Supplies"/>
    <s v="Notepad"/>
    <n v="9"/>
    <n v="3121.2"/>
    <n v="812.96"/>
    <s v="21/6/2022"/>
    <x v="6"/>
    <n v="1905"/>
  </r>
  <r>
    <s v="ORD-1322"/>
    <x v="4"/>
    <n v="10"/>
    <n v="2022"/>
    <s v="West"/>
    <s v="Technology"/>
    <s v="Laptop"/>
    <n v="1"/>
    <n v="70.13"/>
    <n v="14.86"/>
    <s v="10/3/2022"/>
    <x v="4"/>
    <n v="1905"/>
  </r>
  <r>
    <s v="ORD-1323"/>
    <x v="0"/>
    <n v="12"/>
    <n v="2023"/>
    <s v="South"/>
    <s v="Furniture"/>
    <s v="Table"/>
    <n v="5"/>
    <n v="4650.3"/>
    <n v="1224.44"/>
    <s v="12/4/2023"/>
    <x v="0"/>
    <n v="1905"/>
  </r>
  <r>
    <s v="ORD-1324"/>
    <x v="1"/>
    <n v="29"/>
    <n v="2022"/>
    <s v="West"/>
    <s v="Office Supplies"/>
    <s v="Stapler"/>
    <n v="1"/>
    <n v="586.30999999999995"/>
    <n v="153.5"/>
    <s v="29/11/2022"/>
    <x v="1"/>
    <n v="1905"/>
  </r>
  <r>
    <s v="ORD-1325"/>
    <x v="3"/>
    <n v="15"/>
    <n v="2022"/>
    <s v="South"/>
    <s v="Furniture"/>
    <s v="Table"/>
    <n v="7"/>
    <n v="10484.74"/>
    <n v="2614.8200000000002"/>
    <s v="15/12/2022"/>
    <x v="3"/>
    <n v="1905"/>
  </r>
  <r>
    <s v="ORD-1326"/>
    <x v="10"/>
    <n v="28"/>
    <n v="2023"/>
    <s v="West"/>
    <s v="Office Supplies"/>
    <s v="Pen"/>
    <n v="1"/>
    <n v="959.59"/>
    <n v="114.1"/>
    <s v="28/7/2023"/>
    <x v="10"/>
    <n v="1905"/>
  </r>
  <r>
    <s v="ORD-1327"/>
    <x v="10"/>
    <n v="7"/>
    <n v="2022"/>
    <s v="Central"/>
    <s v="Furniture"/>
    <s v="Bookcase"/>
    <n v="5"/>
    <n v="747.5"/>
    <n v="144.25"/>
    <s v="7/7/2022"/>
    <x v="10"/>
    <n v="1905"/>
  </r>
  <r>
    <s v="ORD-1328"/>
    <x v="5"/>
    <n v="8"/>
    <n v="2022"/>
    <s v="West"/>
    <s v="Technology"/>
    <s v="Printer"/>
    <n v="5"/>
    <n v="3255.45"/>
    <n v="190.41"/>
    <s v="8/1/2022"/>
    <x v="5"/>
    <n v="1905"/>
  </r>
  <r>
    <s v="ORD-1329"/>
    <x v="8"/>
    <n v="1"/>
    <n v="2022"/>
    <s v="South"/>
    <s v="Furniture"/>
    <s v="Filing Cabinet"/>
    <n v="4"/>
    <n v="5028.28"/>
    <n v="775.52"/>
    <s v="1/2/2022"/>
    <x v="8"/>
    <n v="1905"/>
  </r>
  <r>
    <s v="ORD-1330"/>
    <x v="3"/>
    <n v="2"/>
    <n v="2023"/>
    <s v="South"/>
    <s v="Office Supplies"/>
    <s v="Paper"/>
    <n v="1"/>
    <n v="111.14"/>
    <n v="12.41"/>
    <s v="2/12/2023"/>
    <x v="3"/>
    <n v="1905"/>
  </r>
  <r>
    <s v="ORD-1331"/>
    <x v="0"/>
    <n v="1"/>
    <n v="2022"/>
    <s v="West"/>
    <s v="Furniture"/>
    <s v="Chair"/>
    <n v="4"/>
    <n v="4533.2"/>
    <n v="423.49"/>
    <s v="1/4/2022"/>
    <x v="0"/>
    <n v="1905"/>
  </r>
  <r>
    <s v="ORD-1332"/>
    <x v="6"/>
    <n v="2"/>
    <n v="2023"/>
    <s v="Central"/>
    <s v="Technology"/>
    <s v="Monitor"/>
    <n v="4"/>
    <n v="4204.3999999999996"/>
    <n v="318.55"/>
    <s v="2/6/2023"/>
    <x v="6"/>
    <n v="1905"/>
  </r>
  <r>
    <s v="ORD-1333"/>
    <x v="7"/>
    <n v="29"/>
    <n v="2023"/>
    <s v="East"/>
    <s v="Furniture"/>
    <s v="Table"/>
    <n v="5"/>
    <n v="6338.1"/>
    <n v="334.25"/>
    <s v="29/8/2023"/>
    <x v="7"/>
    <n v="1905"/>
  </r>
  <r>
    <s v="ORD-1334"/>
    <x v="3"/>
    <n v="14"/>
    <n v="2023"/>
    <s v="West"/>
    <s v="Office Supplies"/>
    <s v="Stapler"/>
    <n v="2"/>
    <n v="140.84"/>
    <n v="28.9"/>
    <s v="14/12/2023"/>
    <x v="3"/>
    <n v="1905"/>
  </r>
  <r>
    <s v="ORD-1335"/>
    <x v="7"/>
    <n v="12"/>
    <n v="2023"/>
    <s v="Central"/>
    <s v="Furniture"/>
    <s v="Filing Cabinet"/>
    <n v="3"/>
    <n v="3507.93"/>
    <n v="990.52"/>
    <s v="12/8/2023"/>
    <x v="7"/>
    <n v="1905"/>
  </r>
  <r>
    <s v="ORD-1336"/>
    <x v="7"/>
    <n v="3"/>
    <n v="2023"/>
    <s v="West"/>
    <s v="Furniture"/>
    <s v="Chair"/>
    <n v="6"/>
    <n v="3058.56"/>
    <n v="489.57"/>
    <s v="3/8/2023"/>
    <x v="7"/>
    <n v="1905"/>
  </r>
  <r>
    <s v="ORD-1337"/>
    <x v="3"/>
    <n v="7"/>
    <n v="2022"/>
    <s v="West"/>
    <s v="Furniture"/>
    <s v="Table"/>
    <n v="9"/>
    <n v="3445.56"/>
    <n v="1006.93"/>
    <s v="7/12/2022"/>
    <x v="3"/>
    <n v="1905"/>
  </r>
  <r>
    <s v="ORD-1338"/>
    <x v="11"/>
    <n v="12"/>
    <n v="2023"/>
    <s v="East"/>
    <s v="Technology"/>
    <s v="Keyboard"/>
    <n v="7"/>
    <n v="261.66000000000003"/>
    <n v="44.49"/>
    <s v="12/9/2023"/>
    <x v="11"/>
    <n v="1905"/>
  </r>
  <r>
    <s v="ORD-1339"/>
    <x v="10"/>
    <n v="10"/>
    <n v="2023"/>
    <s v="Central"/>
    <s v="Technology"/>
    <s v="Monitor"/>
    <n v="9"/>
    <n v="6148.71"/>
    <n v="1454.65"/>
    <s v="10/7/2023"/>
    <x v="10"/>
    <n v="1905"/>
  </r>
  <r>
    <s v="ORD-1340"/>
    <x v="5"/>
    <n v="23"/>
    <n v="2022"/>
    <s v="East"/>
    <s v="Technology"/>
    <s v="Printer"/>
    <n v="7"/>
    <n v="8850.73"/>
    <n v="1637.42"/>
    <s v="23/1/2022"/>
    <x v="5"/>
    <n v="1905"/>
  </r>
  <r>
    <s v="ORD-1341"/>
    <x v="7"/>
    <n v="30"/>
    <n v="2023"/>
    <s v="Central"/>
    <s v="Technology"/>
    <s v="Keyboard"/>
    <n v="4"/>
    <n v="5232.68"/>
    <n v="717.43"/>
    <s v="30/8/2023"/>
    <x v="7"/>
    <n v="1905"/>
  </r>
  <r>
    <s v="ORD-1342"/>
    <x v="0"/>
    <n v="25"/>
    <n v="2022"/>
    <s v="Central"/>
    <s v="Technology"/>
    <s v="Printer"/>
    <n v="6"/>
    <n v="3474.3"/>
    <n v="583.66"/>
    <s v="25/4/2022"/>
    <x v="0"/>
    <n v="1905"/>
  </r>
  <r>
    <s v="ORD-1343"/>
    <x v="1"/>
    <n v="24"/>
    <n v="2023"/>
    <s v="South"/>
    <s v="Technology"/>
    <s v="Laptop"/>
    <n v="4"/>
    <n v="2491.84"/>
    <n v="136.58000000000001"/>
    <s v="24/11/2023"/>
    <x v="1"/>
    <n v="1905"/>
  </r>
  <r>
    <s v="ORD-1344"/>
    <x v="1"/>
    <n v="21"/>
    <n v="2022"/>
    <s v="Central"/>
    <s v="Office Supplies"/>
    <s v="Notepad"/>
    <n v="7"/>
    <n v="8562.4699999999993"/>
    <n v="1843.55"/>
    <s v="21/11/2022"/>
    <x v="1"/>
    <n v="1905"/>
  </r>
  <r>
    <s v="ORD-1345"/>
    <x v="7"/>
    <n v="23"/>
    <n v="2023"/>
    <s v="Central"/>
    <s v="Technology"/>
    <s v="Laptop"/>
    <n v="8"/>
    <n v="1309.5999999999999"/>
    <n v="249.68"/>
    <s v="23/8/2023"/>
    <x v="7"/>
    <n v="1905"/>
  </r>
  <r>
    <s v="ORD-1346"/>
    <x v="7"/>
    <n v="18"/>
    <n v="2023"/>
    <s v="South"/>
    <s v="Technology"/>
    <s v="Laptop"/>
    <n v="5"/>
    <n v="2782.7"/>
    <n v="189.84"/>
    <s v="18/8/2023"/>
    <x v="7"/>
    <n v="1905"/>
  </r>
  <r>
    <s v="ORD-1347"/>
    <x v="6"/>
    <n v="11"/>
    <n v="2022"/>
    <s v="East"/>
    <s v="Furniture"/>
    <s v="Chair"/>
    <n v="6"/>
    <n v="2566.14"/>
    <n v="751.56"/>
    <s v="11/6/2022"/>
    <x v="6"/>
    <n v="1905"/>
  </r>
  <r>
    <s v="ORD-1348"/>
    <x v="11"/>
    <n v="21"/>
    <n v="2023"/>
    <s v="West"/>
    <s v="Technology"/>
    <s v="Printer"/>
    <n v="3"/>
    <n v="424.68"/>
    <n v="101.35"/>
    <s v="21/9/2023"/>
    <x v="11"/>
    <n v="1905"/>
  </r>
  <r>
    <s v="ORD-1349"/>
    <x v="4"/>
    <n v="23"/>
    <n v="2023"/>
    <s v="East"/>
    <s v="Technology"/>
    <s v="Printer"/>
    <n v="8"/>
    <n v="219.76"/>
    <n v="34.159999999999997"/>
    <s v="23/3/2023"/>
    <x v="4"/>
    <n v="19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A5071-6656-42B2-97C6-3AEC3C3F9D4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10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6B02D-F7FA-4ADD-B83C-9043947DCD1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1:B44" firstHeaderRow="1" firstDataRow="1" firstDataCol="1"/>
  <pivotFields count="13">
    <pivotField showAll="0"/>
    <pivotField showAll="0">
      <items count="13">
        <item x="5"/>
        <item x="8"/>
        <item x="4"/>
        <item x="0"/>
        <item x="2"/>
        <item x="6"/>
        <item x="10"/>
        <item x="7"/>
        <item x="11"/>
        <item x="9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5"/>
        <item x="8"/>
        <item x="4"/>
        <item x="0"/>
        <item x="2"/>
        <item x="6"/>
        <item x="10"/>
        <item x="7"/>
        <item x="11"/>
        <item x="9"/>
        <item x="1"/>
        <item x="3"/>
        <item t="default"/>
      </items>
    </pivotField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07EA2-27C0-44C1-BFE3-87A94E6251E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6:B2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3">
        <item x="1"/>
        <item x="11"/>
        <item x="6"/>
        <item x="4"/>
        <item x="5"/>
        <item x="7"/>
        <item x="0"/>
        <item x="9"/>
        <item x="8"/>
        <item x="3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6"/>
  </rowFields>
  <rowItems count="6">
    <i>
      <x v="3"/>
    </i>
    <i>
      <x v="5"/>
    </i>
    <i>
      <x/>
    </i>
    <i>
      <x v="6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02D3A-04E0-48DE-8279-E5AF996B5AF7}" name="Table1" displayName="Table1" ref="A1:M351" totalsRowShown="0" headerRowDxfId="4" headerRowBorderDxfId="3" tableBorderDxfId="2">
  <autoFilter ref="A1:M351" xr:uid="{0C102D3A-04E0-48DE-8279-E5AF996B5AF7}"/>
  <tableColumns count="13">
    <tableColumn id="1" xr3:uid="{48B974D3-D720-46E4-998E-45EB1C735856}" name="Order ID"/>
    <tableColumn id="2" xr3:uid="{5DB78FCF-AC51-4692-9628-72D272CEA238}" name="Month"/>
    <tableColumn id="13" xr3:uid="{9983FB13-2948-4BE7-82F4-589E8CF40361}" name="Day"/>
    <tableColumn id="12" xr3:uid="{570698AA-3BCD-4191-9CA0-6199F00EF037}" name="Year"/>
    <tableColumn id="3" xr3:uid="{CEEBDE8D-3CED-4317-9A25-0F0C703F4CAC}" name="Region"/>
    <tableColumn id="4" xr3:uid="{72B93E2C-F67F-45B0-BDFE-767BDA2EBFCD}" name="Category"/>
    <tableColumn id="5" xr3:uid="{D32BE704-7E70-48CE-B947-56623543F4E3}" name="Product"/>
    <tableColumn id="6" xr3:uid="{19147801-6B18-4B12-B155-B0C99A0EA2C8}" name="Quantity"/>
    <tableColumn id="7" xr3:uid="{7B9EA540-2CB0-4124-AD49-14AA531F5FA8}" name="Sales"/>
    <tableColumn id="8" xr3:uid="{8FDC9A04-ECAB-408D-98D9-A5E627E0DA01}" name="Profit"/>
    <tableColumn id="9" xr3:uid="{EEDCBA18-01C0-4219-B12C-54435388FB75}" name="Order Date" dataDxfId="1">
      <calculatedColumnFormula>Table1[[#This Row],[Day]]&amp;"/"&amp;Table1[[#This Row],[Month]]&amp;"/"&amp;Table1[[#This Row],[Year]]</calculatedColumnFormula>
    </tableColumn>
    <tableColumn id="10" xr3:uid="{EA35D649-A366-4C5B-A2B3-52B2D80837F9}" name="Months">
      <calculatedColumnFormula>TEXT(Table1[[#This Row],[Order Date]],"MMM")</calculatedColumnFormula>
    </tableColumn>
    <tableColumn id="11" xr3:uid="{B8B04EAD-8E83-410D-B852-0613FB8BF06B}" name="year2" dataDxfId="0">
      <calculatedColumnFormula>YEAR(Table1[[#This Row],[Year]])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workbookViewId="0">
      <selection activeCell="P150" sqref="P15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358</v>
      </c>
      <c r="C2" t="s">
        <v>632</v>
      </c>
      <c r="D2" t="s">
        <v>636</v>
      </c>
      <c r="E2" t="s">
        <v>639</v>
      </c>
      <c r="F2">
        <v>7</v>
      </c>
      <c r="G2">
        <v>9993.6200000000008</v>
      </c>
      <c r="H2">
        <v>1472.05</v>
      </c>
    </row>
    <row r="3" spans="1:8" x14ac:dyDescent="0.25">
      <c r="A3" t="s">
        <v>9</v>
      </c>
      <c r="B3" t="s">
        <v>359</v>
      </c>
      <c r="C3" t="s">
        <v>633</v>
      </c>
      <c r="D3" t="s">
        <v>636</v>
      </c>
      <c r="E3" t="s">
        <v>639</v>
      </c>
      <c r="F3">
        <v>6</v>
      </c>
      <c r="G3">
        <v>8489.16</v>
      </c>
      <c r="H3">
        <v>1311.49</v>
      </c>
    </row>
    <row r="4" spans="1:8" x14ac:dyDescent="0.25">
      <c r="A4" t="s">
        <v>10</v>
      </c>
      <c r="B4" t="s">
        <v>360</v>
      </c>
      <c r="C4" t="s">
        <v>633</v>
      </c>
      <c r="D4" t="s">
        <v>637</v>
      </c>
      <c r="E4" t="s">
        <v>640</v>
      </c>
      <c r="F4">
        <v>3</v>
      </c>
      <c r="G4">
        <v>4007.79</v>
      </c>
      <c r="H4">
        <v>993.8</v>
      </c>
    </row>
    <row r="5" spans="1:8" x14ac:dyDescent="0.25">
      <c r="A5" t="s">
        <v>11</v>
      </c>
      <c r="B5" t="s">
        <v>361</v>
      </c>
      <c r="C5" t="s">
        <v>634</v>
      </c>
      <c r="D5" t="s">
        <v>637</v>
      </c>
      <c r="E5" t="s">
        <v>640</v>
      </c>
      <c r="F5">
        <v>6</v>
      </c>
      <c r="G5">
        <v>92.4</v>
      </c>
      <c r="H5">
        <v>12.32</v>
      </c>
    </row>
    <row r="6" spans="1:8" x14ac:dyDescent="0.25">
      <c r="A6" t="s">
        <v>12</v>
      </c>
      <c r="B6" t="s">
        <v>362</v>
      </c>
      <c r="C6" t="s">
        <v>635</v>
      </c>
      <c r="D6" t="s">
        <v>636</v>
      </c>
      <c r="E6" t="s">
        <v>641</v>
      </c>
      <c r="F6">
        <v>3</v>
      </c>
      <c r="G6">
        <v>2122.59</v>
      </c>
      <c r="H6">
        <v>138.47999999999999</v>
      </c>
    </row>
    <row r="7" spans="1:8" x14ac:dyDescent="0.25">
      <c r="A7" t="s">
        <v>13</v>
      </c>
      <c r="B7" t="s">
        <v>363</v>
      </c>
      <c r="C7" t="s">
        <v>634</v>
      </c>
      <c r="D7" t="s">
        <v>638</v>
      </c>
      <c r="E7" t="s">
        <v>642</v>
      </c>
      <c r="F7">
        <v>7</v>
      </c>
      <c r="G7">
        <v>638.47</v>
      </c>
      <c r="H7">
        <v>71.58</v>
      </c>
    </row>
    <row r="8" spans="1:8" x14ac:dyDescent="0.25">
      <c r="A8" t="s">
        <v>14</v>
      </c>
      <c r="B8" t="s">
        <v>364</v>
      </c>
      <c r="C8" t="s">
        <v>634</v>
      </c>
      <c r="D8" t="s">
        <v>638</v>
      </c>
      <c r="E8" t="s">
        <v>643</v>
      </c>
      <c r="F8">
        <v>9</v>
      </c>
      <c r="G8">
        <v>604.79999999999995</v>
      </c>
      <c r="H8">
        <v>56.58</v>
      </c>
    </row>
    <row r="9" spans="1:8" x14ac:dyDescent="0.25">
      <c r="A9" t="s">
        <v>15</v>
      </c>
      <c r="B9" t="s">
        <v>365</v>
      </c>
      <c r="C9" t="s">
        <v>634</v>
      </c>
      <c r="D9" t="s">
        <v>638</v>
      </c>
      <c r="E9" t="s">
        <v>644</v>
      </c>
      <c r="F9">
        <v>7</v>
      </c>
      <c r="G9">
        <v>2396.66</v>
      </c>
      <c r="H9">
        <v>150.66</v>
      </c>
    </row>
    <row r="10" spans="1:8" x14ac:dyDescent="0.25">
      <c r="A10" t="s">
        <v>16</v>
      </c>
      <c r="B10" t="s">
        <v>366</v>
      </c>
      <c r="C10" t="s">
        <v>633</v>
      </c>
      <c r="D10" t="s">
        <v>638</v>
      </c>
      <c r="E10" t="s">
        <v>643</v>
      </c>
      <c r="F10">
        <v>3</v>
      </c>
      <c r="G10">
        <v>2725.65</v>
      </c>
      <c r="H10">
        <v>696.8</v>
      </c>
    </row>
    <row r="11" spans="1:8" x14ac:dyDescent="0.25">
      <c r="A11" t="s">
        <v>17</v>
      </c>
      <c r="B11" t="s">
        <v>367</v>
      </c>
      <c r="C11" t="s">
        <v>632</v>
      </c>
      <c r="D11" t="s">
        <v>637</v>
      </c>
      <c r="E11" t="s">
        <v>645</v>
      </c>
      <c r="F11">
        <v>9</v>
      </c>
      <c r="G11">
        <v>6337.71</v>
      </c>
      <c r="H11">
        <v>373.46</v>
      </c>
    </row>
    <row r="12" spans="1:8" x14ac:dyDescent="0.25">
      <c r="A12" t="s">
        <v>18</v>
      </c>
      <c r="B12" t="s">
        <v>368</v>
      </c>
      <c r="C12" t="s">
        <v>633</v>
      </c>
      <c r="D12" t="s">
        <v>638</v>
      </c>
      <c r="E12" t="s">
        <v>646</v>
      </c>
      <c r="F12">
        <v>8</v>
      </c>
      <c r="G12">
        <v>7168.72</v>
      </c>
      <c r="H12">
        <v>1787.88</v>
      </c>
    </row>
    <row r="13" spans="1:8" x14ac:dyDescent="0.25">
      <c r="A13" t="s">
        <v>19</v>
      </c>
      <c r="B13" t="s">
        <v>369</v>
      </c>
      <c r="C13" t="s">
        <v>634</v>
      </c>
      <c r="D13" t="s">
        <v>637</v>
      </c>
      <c r="E13" t="s">
        <v>640</v>
      </c>
      <c r="F13">
        <v>9</v>
      </c>
      <c r="G13">
        <v>7845.57</v>
      </c>
      <c r="H13">
        <v>579.34</v>
      </c>
    </row>
    <row r="14" spans="1:8" x14ac:dyDescent="0.25">
      <c r="A14" t="s">
        <v>20</v>
      </c>
      <c r="B14" t="s">
        <v>370</v>
      </c>
      <c r="C14" t="s">
        <v>634</v>
      </c>
      <c r="D14" t="s">
        <v>638</v>
      </c>
      <c r="E14" t="s">
        <v>642</v>
      </c>
      <c r="F14">
        <v>1</v>
      </c>
      <c r="G14">
        <v>397.33</v>
      </c>
      <c r="H14">
        <v>101.56</v>
      </c>
    </row>
    <row r="15" spans="1:8" x14ac:dyDescent="0.25">
      <c r="A15" t="s">
        <v>21</v>
      </c>
      <c r="B15" t="s">
        <v>371</v>
      </c>
      <c r="C15" t="s">
        <v>633</v>
      </c>
      <c r="D15" t="s">
        <v>638</v>
      </c>
      <c r="E15" t="s">
        <v>642</v>
      </c>
      <c r="F15">
        <v>4</v>
      </c>
      <c r="G15">
        <v>3073.48</v>
      </c>
      <c r="H15">
        <v>586.37</v>
      </c>
    </row>
    <row r="16" spans="1:8" x14ac:dyDescent="0.25">
      <c r="A16" t="s">
        <v>22</v>
      </c>
      <c r="B16" t="s">
        <v>372</v>
      </c>
      <c r="C16" t="s">
        <v>633</v>
      </c>
      <c r="D16" t="s">
        <v>636</v>
      </c>
      <c r="E16" t="s">
        <v>647</v>
      </c>
      <c r="F16">
        <v>2</v>
      </c>
      <c r="G16">
        <v>57.24</v>
      </c>
      <c r="H16">
        <v>4.9800000000000004</v>
      </c>
    </row>
    <row r="17" spans="1:8" x14ac:dyDescent="0.25">
      <c r="A17" t="s">
        <v>23</v>
      </c>
      <c r="B17" t="s">
        <v>373</v>
      </c>
      <c r="C17" t="s">
        <v>633</v>
      </c>
      <c r="D17" t="s">
        <v>636</v>
      </c>
      <c r="E17" t="s">
        <v>639</v>
      </c>
      <c r="F17">
        <v>9</v>
      </c>
      <c r="G17">
        <v>2939.22</v>
      </c>
      <c r="H17">
        <v>264.91000000000003</v>
      </c>
    </row>
    <row r="18" spans="1:8" x14ac:dyDescent="0.25">
      <c r="A18" t="s">
        <v>24</v>
      </c>
      <c r="B18" t="s">
        <v>374</v>
      </c>
      <c r="C18" t="s">
        <v>632</v>
      </c>
      <c r="D18" t="s">
        <v>637</v>
      </c>
      <c r="E18" t="s">
        <v>640</v>
      </c>
      <c r="F18">
        <v>1</v>
      </c>
      <c r="G18">
        <v>1119.2</v>
      </c>
      <c r="H18">
        <v>67.06</v>
      </c>
    </row>
    <row r="19" spans="1:8" x14ac:dyDescent="0.25">
      <c r="A19" t="s">
        <v>25</v>
      </c>
      <c r="B19" t="s">
        <v>375</v>
      </c>
      <c r="C19" t="s">
        <v>633</v>
      </c>
      <c r="D19" t="s">
        <v>636</v>
      </c>
      <c r="E19" t="s">
        <v>641</v>
      </c>
      <c r="F19">
        <v>6</v>
      </c>
      <c r="G19">
        <v>1794.3</v>
      </c>
      <c r="H19">
        <v>431.97</v>
      </c>
    </row>
    <row r="20" spans="1:8" x14ac:dyDescent="0.25">
      <c r="A20" t="s">
        <v>26</v>
      </c>
      <c r="B20" t="s">
        <v>376</v>
      </c>
      <c r="C20" t="s">
        <v>633</v>
      </c>
      <c r="D20" t="s">
        <v>636</v>
      </c>
      <c r="E20" t="s">
        <v>639</v>
      </c>
      <c r="F20">
        <v>1</v>
      </c>
      <c r="G20">
        <v>361.9</v>
      </c>
      <c r="H20">
        <v>53.27</v>
      </c>
    </row>
    <row r="21" spans="1:8" x14ac:dyDescent="0.25">
      <c r="A21" t="s">
        <v>27</v>
      </c>
      <c r="B21" t="s">
        <v>377</v>
      </c>
      <c r="C21" t="s">
        <v>635</v>
      </c>
      <c r="D21" t="s">
        <v>637</v>
      </c>
      <c r="E21" t="s">
        <v>640</v>
      </c>
      <c r="F21">
        <v>6</v>
      </c>
      <c r="G21">
        <v>1065.5999999999999</v>
      </c>
      <c r="H21">
        <v>166.71</v>
      </c>
    </row>
    <row r="22" spans="1:8" x14ac:dyDescent="0.25">
      <c r="A22" t="s">
        <v>28</v>
      </c>
      <c r="B22" t="s">
        <v>378</v>
      </c>
      <c r="C22" t="s">
        <v>633</v>
      </c>
      <c r="D22" t="s">
        <v>638</v>
      </c>
      <c r="E22" t="s">
        <v>642</v>
      </c>
      <c r="F22">
        <v>9</v>
      </c>
      <c r="G22">
        <v>6368.31</v>
      </c>
      <c r="H22">
        <v>999.02</v>
      </c>
    </row>
    <row r="23" spans="1:8" x14ac:dyDescent="0.25">
      <c r="A23" t="s">
        <v>29</v>
      </c>
      <c r="B23" t="s">
        <v>379</v>
      </c>
      <c r="C23" t="s">
        <v>633</v>
      </c>
      <c r="D23" t="s">
        <v>638</v>
      </c>
      <c r="E23" t="s">
        <v>646</v>
      </c>
      <c r="F23">
        <v>6</v>
      </c>
      <c r="G23">
        <v>6682.92</v>
      </c>
      <c r="H23">
        <v>1552.08</v>
      </c>
    </row>
    <row r="24" spans="1:8" x14ac:dyDescent="0.25">
      <c r="A24" t="s">
        <v>30</v>
      </c>
      <c r="B24" t="s">
        <v>380</v>
      </c>
      <c r="C24" t="s">
        <v>632</v>
      </c>
      <c r="D24" t="s">
        <v>638</v>
      </c>
      <c r="E24" t="s">
        <v>646</v>
      </c>
      <c r="F24">
        <v>1</v>
      </c>
      <c r="G24">
        <v>773.68</v>
      </c>
      <c r="H24">
        <v>66.010000000000005</v>
      </c>
    </row>
    <row r="25" spans="1:8" x14ac:dyDescent="0.25">
      <c r="A25" t="s">
        <v>31</v>
      </c>
      <c r="B25" t="s">
        <v>381</v>
      </c>
      <c r="C25" t="s">
        <v>633</v>
      </c>
      <c r="D25" t="s">
        <v>638</v>
      </c>
      <c r="E25" t="s">
        <v>643</v>
      </c>
      <c r="F25">
        <v>7</v>
      </c>
      <c r="G25">
        <v>9491.86</v>
      </c>
      <c r="H25">
        <v>1543.2</v>
      </c>
    </row>
    <row r="26" spans="1:8" x14ac:dyDescent="0.25">
      <c r="A26" t="s">
        <v>32</v>
      </c>
      <c r="B26" t="s">
        <v>382</v>
      </c>
      <c r="C26" t="s">
        <v>635</v>
      </c>
      <c r="D26" t="s">
        <v>637</v>
      </c>
      <c r="E26" t="s">
        <v>640</v>
      </c>
      <c r="F26">
        <v>6</v>
      </c>
      <c r="G26">
        <v>5969.46</v>
      </c>
      <c r="H26">
        <v>1591.75</v>
      </c>
    </row>
    <row r="27" spans="1:8" x14ac:dyDescent="0.25">
      <c r="A27" t="s">
        <v>33</v>
      </c>
      <c r="B27" t="s">
        <v>383</v>
      </c>
      <c r="C27" t="s">
        <v>635</v>
      </c>
      <c r="D27" t="s">
        <v>636</v>
      </c>
      <c r="E27" t="s">
        <v>639</v>
      </c>
      <c r="F27">
        <v>7</v>
      </c>
      <c r="G27">
        <v>457.8</v>
      </c>
      <c r="H27">
        <v>127.47</v>
      </c>
    </row>
    <row r="28" spans="1:8" x14ac:dyDescent="0.25">
      <c r="A28" t="s">
        <v>34</v>
      </c>
      <c r="B28" t="s">
        <v>384</v>
      </c>
      <c r="C28" t="s">
        <v>632</v>
      </c>
      <c r="D28" t="s">
        <v>638</v>
      </c>
      <c r="E28" t="s">
        <v>643</v>
      </c>
      <c r="F28">
        <v>8</v>
      </c>
      <c r="G28">
        <v>1065.2</v>
      </c>
      <c r="H28">
        <v>186.95</v>
      </c>
    </row>
    <row r="29" spans="1:8" x14ac:dyDescent="0.25">
      <c r="A29" t="s">
        <v>35</v>
      </c>
      <c r="B29" t="s">
        <v>385</v>
      </c>
      <c r="C29" t="s">
        <v>635</v>
      </c>
      <c r="D29" t="s">
        <v>636</v>
      </c>
      <c r="E29" t="s">
        <v>641</v>
      </c>
      <c r="F29">
        <v>8</v>
      </c>
      <c r="G29">
        <v>2883.36</v>
      </c>
      <c r="H29">
        <v>434.46</v>
      </c>
    </row>
    <row r="30" spans="1:8" x14ac:dyDescent="0.25">
      <c r="A30" t="s">
        <v>36</v>
      </c>
      <c r="B30" t="s">
        <v>386</v>
      </c>
      <c r="C30" t="s">
        <v>632</v>
      </c>
      <c r="D30" t="s">
        <v>638</v>
      </c>
      <c r="E30" t="s">
        <v>644</v>
      </c>
      <c r="F30">
        <v>3</v>
      </c>
      <c r="G30">
        <v>210.57</v>
      </c>
      <c r="H30">
        <v>17.32</v>
      </c>
    </row>
    <row r="31" spans="1:8" x14ac:dyDescent="0.25">
      <c r="A31" t="s">
        <v>37</v>
      </c>
      <c r="B31" t="s">
        <v>387</v>
      </c>
      <c r="C31" t="s">
        <v>634</v>
      </c>
      <c r="D31" t="s">
        <v>637</v>
      </c>
      <c r="E31" t="s">
        <v>640</v>
      </c>
      <c r="F31">
        <v>7</v>
      </c>
      <c r="G31">
        <v>10140.969999999999</v>
      </c>
      <c r="H31">
        <v>2601.46</v>
      </c>
    </row>
    <row r="32" spans="1:8" x14ac:dyDescent="0.25">
      <c r="A32" t="s">
        <v>38</v>
      </c>
      <c r="B32" t="s">
        <v>388</v>
      </c>
      <c r="C32" t="s">
        <v>632</v>
      </c>
      <c r="D32" t="s">
        <v>637</v>
      </c>
      <c r="E32" t="s">
        <v>640</v>
      </c>
      <c r="F32">
        <v>3</v>
      </c>
      <c r="G32">
        <v>3183.93</v>
      </c>
      <c r="H32">
        <v>264.7</v>
      </c>
    </row>
    <row r="33" spans="1:8" x14ac:dyDescent="0.25">
      <c r="A33" t="s">
        <v>39</v>
      </c>
      <c r="B33" t="s">
        <v>389</v>
      </c>
      <c r="C33" t="s">
        <v>635</v>
      </c>
      <c r="D33" t="s">
        <v>636</v>
      </c>
      <c r="E33" t="s">
        <v>647</v>
      </c>
      <c r="F33">
        <v>7</v>
      </c>
      <c r="G33">
        <v>8938.44</v>
      </c>
      <c r="H33">
        <v>2594.62</v>
      </c>
    </row>
    <row r="34" spans="1:8" x14ac:dyDescent="0.25">
      <c r="A34" t="s">
        <v>40</v>
      </c>
      <c r="B34" t="s">
        <v>390</v>
      </c>
      <c r="C34" t="s">
        <v>633</v>
      </c>
      <c r="D34" t="s">
        <v>636</v>
      </c>
      <c r="E34" t="s">
        <v>639</v>
      </c>
      <c r="F34">
        <v>3</v>
      </c>
      <c r="G34">
        <v>1661.64</v>
      </c>
      <c r="H34">
        <v>107.47</v>
      </c>
    </row>
    <row r="35" spans="1:8" x14ac:dyDescent="0.25">
      <c r="A35" t="s">
        <v>41</v>
      </c>
      <c r="B35" t="s">
        <v>391</v>
      </c>
      <c r="C35" t="s">
        <v>633</v>
      </c>
      <c r="D35" t="s">
        <v>636</v>
      </c>
      <c r="E35" t="s">
        <v>641</v>
      </c>
      <c r="F35">
        <v>7</v>
      </c>
      <c r="G35">
        <v>7794.43</v>
      </c>
      <c r="H35">
        <v>1288.68</v>
      </c>
    </row>
    <row r="36" spans="1:8" x14ac:dyDescent="0.25">
      <c r="A36" t="s">
        <v>42</v>
      </c>
      <c r="B36" t="s">
        <v>392</v>
      </c>
      <c r="C36" t="s">
        <v>633</v>
      </c>
      <c r="D36" t="s">
        <v>636</v>
      </c>
      <c r="E36" t="s">
        <v>641</v>
      </c>
      <c r="F36">
        <v>3</v>
      </c>
      <c r="G36">
        <v>2204.25</v>
      </c>
      <c r="H36">
        <v>653.41</v>
      </c>
    </row>
    <row r="37" spans="1:8" x14ac:dyDescent="0.25">
      <c r="A37" t="s">
        <v>43</v>
      </c>
      <c r="B37" t="s">
        <v>393</v>
      </c>
      <c r="C37" t="s">
        <v>635</v>
      </c>
      <c r="D37" t="s">
        <v>637</v>
      </c>
      <c r="E37" t="s">
        <v>640</v>
      </c>
      <c r="F37">
        <v>7</v>
      </c>
      <c r="G37">
        <v>4718.7700000000004</v>
      </c>
      <c r="H37">
        <v>767.98</v>
      </c>
    </row>
    <row r="38" spans="1:8" x14ac:dyDescent="0.25">
      <c r="A38" t="s">
        <v>44</v>
      </c>
      <c r="B38" t="s">
        <v>394</v>
      </c>
      <c r="C38" t="s">
        <v>633</v>
      </c>
      <c r="D38" t="s">
        <v>636</v>
      </c>
      <c r="E38" t="s">
        <v>641</v>
      </c>
      <c r="F38">
        <v>2</v>
      </c>
      <c r="G38">
        <v>881.78</v>
      </c>
      <c r="H38">
        <v>117.42</v>
      </c>
    </row>
    <row r="39" spans="1:8" x14ac:dyDescent="0.25">
      <c r="A39" t="s">
        <v>45</v>
      </c>
      <c r="B39" t="s">
        <v>395</v>
      </c>
      <c r="C39" t="s">
        <v>632</v>
      </c>
      <c r="D39" t="s">
        <v>636</v>
      </c>
      <c r="E39" t="s">
        <v>648</v>
      </c>
      <c r="F39">
        <v>2</v>
      </c>
      <c r="G39">
        <v>1204.96</v>
      </c>
      <c r="H39">
        <v>309.61</v>
      </c>
    </row>
    <row r="40" spans="1:8" x14ac:dyDescent="0.25">
      <c r="A40" t="s">
        <v>46</v>
      </c>
      <c r="B40" t="s">
        <v>396</v>
      </c>
      <c r="C40" t="s">
        <v>633</v>
      </c>
      <c r="D40" t="s">
        <v>636</v>
      </c>
      <c r="E40" t="s">
        <v>647</v>
      </c>
      <c r="F40">
        <v>7</v>
      </c>
      <c r="G40">
        <v>855.68</v>
      </c>
      <c r="H40">
        <v>131.38</v>
      </c>
    </row>
    <row r="41" spans="1:8" x14ac:dyDescent="0.25">
      <c r="A41" t="s">
        <v>47</v>
      </c>
      <c r="B41" t="s">
        <v>397</v>
      </c>
      <c r="C41" t="s">
        <v>635</v>
      </c>
      <c r="D41" t="s">
        <v>637</v>
      </c>
      <c r="E41" t="s">
        <v>640</v>
      </c>
      <c r="F41">
        <v>4</v>
      </c>
      <c r="G41">
        <v>4188.12</v>
      </c>
      <c r="H41">
        <v>914.55</v>
      </c>
    </row>
    <row r="42" spans="1:8" x14ac:dyDescent="0.25">
      <c r="A42" t="s">
        <v>48</v>
      </c>
      <c r="B42" t="s">
        <v>398</v>
      </c>
      <c r="C42" t="s">
        <v>634</v>
      </c>
      <c r="D42" t="s">
        <v>638</v>
      </c>
      <c r="E42" t="s">
        <v>642</v>
      </c>
      <c r="F42">
        <v>5</v>
      </c>
      <c r="G42">
        <v>4301.05</v>
      </c>
      <c r="H42">
        <v>585.29999999999995</v>
      </c>
    </row>
    <row r="43" spans="1:8" x14ac:dyDescent="0.25">
      <c r="A43" t="s">
        <v>49</v>
      </c>
      <c r="B43" t="s">
        <v>399</v>
      </c>
      <c r="C43" t="s">
        <v>635</v>
      </c>
      <c r="D43" t="s">
        <v>636</v>
      </c>
      <c r="E43" t="s">
        <v>647</v>
      </c>
      <c r="F43">
        <v>7</v>
      </c>
      <c r="G43">
        <v>9656.08</v>
      </c>
      <c r="H43">
        <v>1459.32</v>
      </c>
    </row>
    <row r="44" spans="1:8" x14ac:dyDescent="0.25">
      <c r="A44" t="s">
        <v>50</v>
      </c>
      <c r="B44" t="s">
        <v>400</v>
      </c>
      <c r="C44" t="s">
        <v>632</v>
      </c>
      <c r="D44" t="s">
        <v>636</v>
      </c>
      <c r="E44" t="s">
        <v>647</v>
      </c>
      <c r="F44">
        <v>2</v>
      </c>
      <c r="G44">
        <v>1266.42</v>
      </c>
      <c r="H44">
        <v>73.83</v>
      </c>
    </row>
    <row r="45" spans="1:8" x14ac:dyDescent="0.25">
      <c r="A45" t="s">
        <v>51</v>
      </c>
      <c r="B45" t="s">
        <v>401</v>
      </c>
      <c r="C45" t="s">
        <v>634</v>
      </c>
      <c r="D45" t="s">
        <v>638</v>
      </c>
      <c r="E45" t="s">
        <v>644</v>
      </c>
      <c r="F45">
        <v>1</v>
      </c>
      <c r="G45">
        <v>630.19000000000005</v>
      </c>
      <c r="H45">
        <v>78.31</v>
      </c>
    </row>
    <row r="46" spans="1:8" x14ac:dyDescent="0.25">
      <c r="A46" t="s">
        <v>52</v>
      </c>
      <c r="B46" t="s">
        <v>402</v>
      </c>
      <c r="C46" t="s">
        <v>634</v>
      </c>
      <c r="D46" t="s">
        <v>636</v>
      </c>
      <c r="E46" t="s">
        <v>647</v>
      </c>
      <c r="F46">
        <v>2</v>
      </c>
      <c r="G46">
        <v>2499.38</v>
      </c>
      <c r="H46">
        <v>317.33</v>
      </c>
    </row>
    <row r="47" spans="1:8" x14ac:dyDescent="0.25">
      <c r="A47" t="s">
        <v>53</v>
      </c>
      <c r="B47" t="s">
        <v>403</v>
      </c>
      <c r="C47" t="s">
        <v>634</v>
      </c>
      <c r="D47" t="s">
        <v>638</v>
      </c>
      <c r="E47" t="s">
        <v>643</v>
      </c>
      <c r="F47">
        <v>4</v>
      </c>
      <c r="G47">
        <v>5623.4</v>
      </c>
      <c r="H47">
        <v>1233.6099999999999</v>
      </c>
    </row>
    <row r="48" spans="1:8" x14ac:dyDescent="0.25">
      <c r="A48" t="s">
        <v>54</v>
      </c>
      <c r="B48" t="s">
        <v>404</v>
      </c>
      <c r="C48" t="s">
        <v>633</v>
      </c>
      <c r="D48" t="s">
        <v>636</v>
      </c>
      <c r="E48" t="s">
        <v>648</v>
      </c>
      <c r="F48">
        <v>1</v>
      </c>
      <c r="G48">
        <v>167.61</v>
      </c>
      <c r="H48">
        <v>36.01</v>
      </c>
    </row>
    <row r="49" spans="1:8" x14ac:dyDescent="0.25">
      <c r="A49" t="s">
        <v>55</v>
      </c>
      <c r="B49" t="s">
        <v>405</v>
      </c>
      <c r="C49" t="s">
        <v>635</v>
      </c>
      <c r="D49" t="s">
        <v>637</v>
      </c>
      <c r="E49" t="s">
        <v>649</v>
      </c>
      <c r="F49">
        <v>8</v>
      </c>
      <c r="G49">
        <v>8869.2000000000007</v>
      </c>
      <c r="H49">
        <v>1397.95</v>
      </c>
    </row>
    <row r="50" spans="1:8" x14ac:dyDescent="0.25">
      <c r="A50" t="s">
        <v>56</v>
      </c>
      <c r="B50" t="s">
        <v>406</v>
      </c>
      <c r="C50" t="s">
        <v>635</v>
      </c>
      <c r="D50" t="s">
        <v>638</v>
      </c>
      <c r="E50" t="s">
        <v>643</v>
      </c>
      <c r="F50">
        <v>9</v>
      </c>
      <c r="G50">
        <v>10036.89</v>
      </c>
      <c r="H50">
        <v>988.5</v>
      </c>
    </row>
    <row r="51" spans="1:8" x14ac:dyDescent="0.25">
      <c r="A51" t="s">
        <v>57</v>
      </c>
      <c r="B51" t="s">
        <v>407</v>
      </c>
      <c r="C51" t="s">
        <v>632</v>
      </c>
      <c r="D51" t="s">
        <v>636</v>
      </c>
      <c r="E51" t="s">
        <v>648</v>
      </c>
      <c r="F51">
        <v>7</v>
      </c>
      <c r="G51">
        <v>6466.88</v>
      </c>
      <c r="H51">
        <v>1526.03</v>
      </c>
    </row>
    <row r="52" spans="1:8" x14ac:dyDescent="0.25">
      <c r="A52" t="s">
        <v>58</v>
      </c>
      <c r="B52" t="s">
        <v>408</v>
      </c>
      <c r="C52" t="s">
        <v>633</v>
      </c>
      <c r="D52" t="s">
        <v>638</v>
      </c>
      <c r="E52" t="s">
        <v>643</v>
      </c>
      <c r="F52">
        <v>9</v>
      </c>
      <c r="G52">
        <v>1037.97</v>
      </c>
      <c r="H52">
        <v>101.73</v>
      </c>
    </row>
    <row r="53" spans="1:8" x14ac:dyDescent="0.25">
      <c r="A53" t="s">
        <v>59</v>
      </c>
      <c r="B53" t="s">
        <v>409</v>
      </c>
      <c r="C53" t="s">
        <v>635</v>
      </c>
      <c r="D53" t="s">
        <v>638</v>
      </c>
      <c r="E53" t="s">
        <v>644</v>
      </c>
      <c r="F53">
        <v>9</v>
      </c>
      <c r="G53">
        <v>10131.030000000001</v>
      </c>
      <c r="H53">
        <v>746.46</v>
      </c>
    </row>
    <row r="54" spans="1:8" x14ac:dyDescent="0.25">
      <c r="A54" t="s">
        <v>60</v>
      </c>
      <c r="B54" t="s">
        <v>410</v>
      </c>
      <c r="C54" t="s">
        <v>634</v>
      </c>
      <c r="D54" t="s">
        <v>638</v>
      </c>
      <c r="E54" t="s">
        <v>642</v>
      </c>
      <c r="F54">
        <v>2</v>
      </c>
      <c r="G54">
        <v>206.84</v>
      </c>
      <c r="H54">
        <v>27.93</v>
      </c>
    </row>
    <row r="55" spans="1:8" x14ac:dyDescent="0.25">
      <c r="A55" t="s">
        <v>61</v>
      </c>
      <c r="B55" t="s">
        <v>411</v>
      </c>
      <c r="C55" t="s">
        <v>632</v>
      </c>
      <c r="D55" t="s">
        <v>638</v>
      </c>
      <c r="E55" t="s">
        <v>646</v>
      </c>
      <c r="F55">
        <v>2</v>
      </c>
      <c r="G55">
        <v>2936.54</v>
      </c>
      <c r="H55">
        <v>659.21</v>
      </c>
    </row>
    <row r="56" spans="1:8" x14ac:dyDescent="0.25">
      <c r="A56" t="s">
        <v>62</v>
      </c>
      <c r="B56" t="s">
        <v>412</v>
      </c>
      <c r="C56" t="s">
        <v>634</v>
      </c>
      <c r="D56" t="s">
        <v>638</v>
      </c>
      <c r="E56" t="s">
        <v>646</v>
      </c>
      <c r="F56">
        <v>6</v>
      </c>
      <c r="G56">
        <v>7542.3</v>
      </c>
      <c r="H56">
        <v>2069.56</v>
      </c>
    </row>
    <row r="57" spans="1:8" x14ac:dyDescent="0.25">
      <c r="A57" t="s">
        <v>63</v>
      </c>
      <c r="B57" t="s">
        <v>413</v>
      </c>
      <c r="C57" t="s">
        <v>632</v>
      </c>
      <c r="D57" t="s">
        <v>637</v>
      </c>
      <c r="E57" t="s">
        <v>640</v>
      </c>
      <c r="F57">
        <v>8</v>
      </c>
      <c r="G57">
        <v>705.04</v>
      </c>
      <c r="H57">
        <v>91.97</v>
      </c>
    </row>
    <row r="58" spans="1:8" x14ac:dyDescent="0.25">
      <c r="A58" t="s">
        <v>64</v>
      </c>
      <c r="B58" t="s">
        <v>414</v>
      </c>
      <c r="C58" t="s">
        <v>635</v>
      </c>
      <c r="D58" t="s">
        <v>638</v>
      </c>
      <c r="E58" t="s">
        <v>642</v>
      </c>
      <c r="F58">
        <v>8</v>
      </c>
      <c r="G58">
        <v>3855.92</v>
      </c>
      <c r="H58">
        <v>760.32</v>
      </c>
    </row>
    <row r="59" spans="1:8" x14ac:dyDescent="0.25">
      <c r="A59" t="s">
        <v>65</v>
      </c>
      <c r="B59" t="s">
        <v>361</v>
      </c>
      <c r="C59" t="s">
        <v>633</v>
      </c>
      <c r="D59" t="s">
        <v>638</v>
      </c>
      <c r="E59" t="s">
        <v>642</v>
      </c>
      <c r="F59">
        <v>1</v>
      </c>
      <c r="G59">
        <v>823.27</v>
      </c>
      <c r="H59">
        <v>77.27</v>
      </c>
    </row>
    <row r="60" spans="1:8" x14ac:dyDescent="0.25">
      <c r="A60" t="s">
        <v>66</v>
      </c>
      <c r="B60" t="s">
        <v>415</v>
      </c>
      <c r="C60" t="s">
        <v>633</v>
      </c>
      <c r="D60" t="s">
        <v>636</v>
      </c>
      <c r="E60" t="s">
        <v>641</v>
      </c>
      <c r="F60">
        <v>9</v>
      </c>
      <c r="G60">
        <v>3485.43</v>
      </c>
      <c r="H60">
        <v>728.82</v>
      </c>
    </row>
    <row r="61" spans="1:8" x14ac:dyDescent="0.25">
      <c r="A61" t="s">
        <v>67</v>
      </c>
      <c r="B61" t="s">
        <v>416</v>
      </c>
      <c r="C61" t="s">
        <v>633</v>
      </c>
      <c r="D61" t="s">
        <v>638</v>
      </c>
      <c r="E61" t="s">
        <v>643</v>
      </c>
      <c r="F61">
        <v>2</v>
      </c>
      <c r="G61">
        <v>345.18</v>
      </c>
      <c r="H61">
        <v>70.33</v>
      </c>
    </row>
    <row r="62" spans="1:8" x14ac:dyDescent="0.25">
      <c r="A62" t="s">
        <v>68</v>
      </c>
      <c r="B62" t="s">
        <v>417</v>
      </c>
      <c r="C62" t="s">
        <v>635</v>
      </c>
      <c r="D62" t="s">
        <v>638</v>
      </c>
      <c r="E62" t="s">
        <v>642</v>
      </c>
      <c r="F62">
        <v>3</v>
      </c>
      <c r="G62">
        <v>3459</v>
      </c>
      <c r="H62">
        <v>477.27</v>
      </c>
    </row>
    <row r="63" spans="1:8" x14ac:dyDescent="0.25">
      <c r="A63" t="s">
        <v>69</v>
      </c>
      <c r="B63" t="s">
        <v>418</v>
      </c>
      <c r="C63" t="s">
        <v>635</v>
      </c>
      <c r="D63" t="s">
        <v>636</v>
      </c>
      <c r="E63" t="s">
        <v>647</v>
      </c>
      <c r="F63">
        <v>1</v>
      </c>
      <c r="G63">
        <v>285.77</v>
      </c>
      <c r="H63">
        <v>28</v>
      </c>
    </row>
    <row r="64" spans="1:8" x14ac:dyDescent="0.25">
      <c r="A64" t="s">
        <v>70</v>
      </c>
      <c r="B64" t="s">
        <v>419</v>
      </c>
      <c r="C64" t="s">
        <v>634</v>
      </c>
      <c r="D64" t="s">
        <v>638</v>
      </c>
      <c r="E64" t="s">
        <v>646</v>
      </c>
      <c r="F64">
        <v>2</v>
      </c>
      <c r="G64">
        <v>1548.84</v>
      </c>
      <c r="H64">
        <v>409.18</v>
      </c>
    </row>
    <row r="65" spans="1:8" x14ac:dyDescent="0.25">
      <c r="A65" t="s">
        <v>71</v>
      </c>
      <c r="B65" t="s">
        <v>420</v>
      </c>
      <c r="C65" t="s">
        <v>634</v>
      </c>
      <c r="D65" t="s">
        <v>636</v>
      </c>
      <c r="E65" t="s">
        <v>648</v>
      </c>
      <c r="F65">
        <v>3</v>
      </c>
      <c r="G65">
        <v>1282.1400000000001</v>
      </c>
      <c r="H65">
        <v>310.70999999999998</v>
      </c>
    </row>
    <row r="66" spans="1:8" x14ac:dyDescent="0.25">
      <c r="A66" t="s">
        <v>72</v>
      </c>
      <c r="B66" t="s">
        <v>421</v>
      </c>
      <c r="C66" t="s">
        <v>635</v>
      </c>
      <c r="D66" t="s">
        <v>636</v>
      </c>
      <c r="E66" t="s">
        <v>648</v>
      </c>
      <c r="F66">
        <v>1</v>
      </c>
      <c r="G66">
        <v>157.12</v>
      </c>
      <c r="H66">
        <v>15.1</v>
      </c>
    </row>
    <row r="67" spans="1:8" x14ac:dyDescent="0.25">
      <c r="A67" t="s">
        <v>73</v>
      </c>
      <c r="B67" t="s">
        <v>422</v>
      </c>
      <c r="C67" t="s">
        <v>633</v>
      </c>
      <c r="D67" t="s">
        <v>636</v>
      </c>
      <c r="E67" t="s">
        <v>641</v>
      </c>
      <c r="F67">
        <v>1</v>
      </c>
      <c r="G67">
        <v>190.34</v>
      </c>
      <c r="H67">
        <v>30.42</v>
      </c>
    </row>
    <row r="68" spans="1:8" x14ac:dyDescent="0.25">
      <c r="A68" t="s">
        <v>74</v>
      </c>
      <c r="B68" t="s">
        <v>423</v>
      </c>
      <c r="C68" t="s">
        <v>634</v>
      </c>
      <c r="D68" t="s">
        <v>638</v>
      </c>
      <c r="E68" t="s">
        <v>644</v>
      </c>
      <c r="F68">
        <v>3</v>
      </c>
      <c r="G68">
        <v>1579.5</v>
      </c>
      <c r="H68">
        <v>350.75</v>
      </c>
    </row>
    <row r="69" spans="1:8" x14ac:dyDescent="0.25">
      <c r="A69" t="s">
        <v>75</v>
      </c>
      <c r="B69" t="s">
        <v>424</v>
      </c>
      <c r="C69" t="s">
        <v>635</v>
      </c>
      <c r="D69" t="s">
        <v>637</v>
      </c>
      <c r="E69" t="s">
        <v>650</v>
      </c>
      <c r="F69">
        <v>3</v>
      </c>
      <c r="G69">
        <v>2823.15</v>
      </c>
      <c r="H69">
        <v>326.36</v>
      </c>
    </row>
    <row r="70" spans="1:8" x14ac:dyDescent="0.25">
      <c r="A70" t="s">
        <v>76</v>
      </c>
      <c r="B70" t="s">
        <v>425</v>
      </c>
      <c r="C70" t="s">
        <v>633</v>
      </c>
      <c r="D70" t="s">
        <v>636</v>
      </c>
      <c r="E70" t="s">
        <v>641</v>
      </c>
      <c r="F70">
        <v>1</v>
      </c>
      <c r="G70">
        <v>16.8</v>
      </c>
      <c r="H70">
        <v>4.63</v>
      </c>
    </row>
    <row r="71" spans="1:8" x14ac:dyDescent="0.25">
      <c r="A71" t="s">
        <v>77</v>
      </c>
      <c r="B71" t="s">
        <v>426</v>
      </c>
      <c r="C71" t="s">
        <v>633</v>
      </c>
      <c r="D71" t="s">
        <v>638</v>
      </c>
      <c r="E71" t="s">
        <v>644</v>
      </c>
      <c r="F71">
        <v>4</v>
      </c>
      <c r="G71">
        <v>191.44</v>
      </c>
      <c r="H71">
        <v>26.33</v>
      </c>
    </row>
    <row r="72" spans="1:8" x14ac:dyDescent="0.25">
      <c r="A72" t="s">
        <v>78</v>
      </c>
      <c r="B72" t="s">
        <v>427</v>
      </c>
      <c r="C72" t="s">
        <v>633</v>
      </c>
      <c r="D72" t="s">
        <v>638</v>
      </c>
      <c r="E72" t="s">
        <v>646</v>
      </c>
      <c r="F72">
        <v>7</v>
      </c>
      <c r="G72">
        <v>10467.450000000001</v>
      </c>
      <c r="H72">
        <v>2595.65</v>
      </c>
    </row>
    <row r="73" spans="1:8" x14ac:dyDescent="0.25">
      <c r="A73" t="s">
        <v>79</v>
      </c>
      <c r="B73" t="s">
        <v>428</v>
      </c>
      <c r="C73" t="s">
        <v>632</v>
      </c>
      <c r="D73" t="s">
        <v>637</v>
      </c>
      <c r="E73" t="s">
        <v>640</v>
      </c>
      <c r="F73">
        <v>5</v>
      </c>
      <c r="G73">
        <v>4494.8</v>
      </c>
      <c r="H73">
        <v>1152.43</v>
      </c>
    </row>
    <row r="74" spans="1:8" x14ac:dyDescent="0.25">
      <c r="A74" t="s">
        <v>80</v>
      </c>
      <c r="B74" t="s">
        <v>429</v>
      </c>
      <c r="C74" t="s">
        <v>635</v>
      </c>
      <c r="D74" t="s">
        <v>638</v>
      </c>
      <c r="E74" t="s">
        <v>642</v>
      </c>
      <c r="F74">
        <v>1</v>
      </c>
      <c r="G74">
        <v>1406.11</v>
      </c>
      <c r="H74">
        <v>140.01</v>
      </c>
    </row>
    <row r="75" spans="1:8" x14ac:dyDescent="0.25">
      <c r="A75" t="s">
        <v>81</v>
      </c>
      <c r="B75" t="s">
        <v>430</v>
      </c>
      <c r="C75" t="s">
        <v>634</v>
      </c>
      <c r="D75" t="s">
        <v>637</v>
      </c>
      <c r="E75" t="s">
        <v>650</v>
      </c>
      <c r="F75">
        <v>3</v>
      </c>
      <c r="G75">
        <v>3729.75</v>
      </c>
      <c r="H75">
        <v>726.86</v>
      </c>
    </row>
    <row r="76" spans="1:8" x14ac:dyDescent="0.25">
      <c r="A76" t="s">
        <v>82</v>
      </c>
      <c r="B76" t="s">
        <v>431</v>
      </c>
      <c r="C76" t="s">
        <v>633</v>
      </c>
      <c r="D76" t="s">
        <v>636</v>
      </c>
      <c r="E76" t="s">
        <v>648</v>
      </c>
      <c r="F76">
        <v>3</v>
      </c>
      <c r="G76">
        <v>953.07</v>
      </c>
      <c r="H76">
        <v>113.59</v>
      </c>
    </row>
    <row r="77" spans="1:8" x14ac:dyDescent="0.25">
      <c r="A77" t="s">
        <v>83</v>
      </c>
      <c r="B77" t="s">
        <v>432</v>
      </c>
      <c r="C77" t="s">
        <v>632</v>
      </c>
      <c r="D77" t="s">
        <v>637</v>
      </c>
      <c r="E77" t="s">
        <v>645</v>
      </c>
      <c r="F77">
        <v>1</v>
      </c>
      <c r="G77">
        <v>1096.6400000000001</v>
      </c>
      <c r="H77">
        <v>183.64</v>
      </c>
    </row>
    <row r="78" spans="1:8" x14ac:dyDescent="0.25">
      <c r="A78" t="s">
        <v>84</v>
      </c>
      <c r="B78" t="s">
        <v>433</v>
      </c>
      <c r="C78" t="s">
        <v>634</v>
      </c>
      <c r="D78" t="s">
        <v>636</v>
      </c>
      <c r="E78" t="s">
        <v>647</v>
      </c>
      <c r="F78">
        <v>4</v>
      </c>
      <c r="G78">
        <v>5611.76</v>
      </c>
      <c r="H78">
        <v>676.13</v>
      </c>
    </row>
    <row r="79" spans="1:8" x14ac:dyDescent="0.25">
      <c r="A79" t="s">
        <v>85</v>
      </c>
      <c r="B79" t="s">
        <v>434</v>
      </c>
      <c r="C79" t="s">
        <v>633</v>
      </c>
      <c r="D79" t="s">
        <v>638</v>
      </c>
      <c r="E79" t="s">
        <v>642</v>
      </c>
      <c r="F79">
        <v>8</v>
      </c>
      <c r="G79">
        <v>4249.68</v>
      </c>
      <c r="H79">
        <v>1253.0899999999999</v>
      </c>
    </row>
    <row r="80" spans="1:8" x14ac:dyDescent="0.25">
      <c r="A80" t="s">
        <v>86</v>
      </c>
      <c r="B80" t="s">
        <v>435</v>
      </c>
      <c r="C80" t="s">
        <v>633</v>
      </c>
      <c r="D80" t="s">
        <v>638</v>
      </c>
      <c r="E80" t="s">
        <v>646</v>
      </c>
      <c r="F80">
        <v>6</v>
      </c>
      <c r="G80">
        <v>2487.6</v>
      </c>
      <c r="H80">
        <v>223.33</v>
      </c>
    </row>
    <row r="81" spans="1:8" x14ac:dyDescent="0.25">
      <c r="A81" t="s">
        <v>87</v>
      </c>
      <c r="B81" t="s">
        <v>436</v>
      </c>
      <c r="C81" t="s">
        <v>632</v>
      </c>
      <c r="D81" t="s">
        <v>638</v>
      </c>
      <c r="E81" t="s">
        <v>644</v>
      </c>
      <c r="F81">
        <v>5</v>
      </c>
      <c r="G81">
        <v>7481.9</v>
      </c>
      <c r="H81">
        <v>1792.92</v>
      </c>
    </row>
    <row r="82" spans="1:8" x14ac:dyDescent="0.25">
      <c r="A82" t="s">
        <v>88</v>
      </c>
      <c r="B82" t="s">
        <v>435</v>
      </c>
      <c r="C82" t="s">
        <v>635</v>
      </c>
      <c r="D82" t="s">
        <v>638</v>
      </c>
      <c r="E82" t="s">
        <v>644</v>
      </c>
      <c r="F82">
        <v>1</v>
      </c>
      <c r="G82">
        <v>414.86</v>
      </c>
      <c r="H82">
        <v>121.16</v>
      </c>
    </row>
    <row r="83" spans="1:8" x14ac:dyDescent="0.25">
      <c r="A83" t="s">
        <v>89</v>
      </c>
      <c r="B83" t="s">
        <v>399</v>
      </c>
      <c r="C83" t="s">
        <v>632</v>
      </c>
      <c r="D83" t="s">
        <v>636</v>
      </c>
      <c r="E83" t="s">
        <v>639</v>
      </c>
      <c r="F83">
        <v>5</v>
      </c>
      <c r="G83">
        <v>1121.9000000000001</v>
      </c>
      <c r="H83">
        <v>111.09</v>
      </c>
    </row>
    <row r="84" spans="1:8" x14ac:dyDescent="0.25">
      <c r="A84" t="s">
        <v>90</v>
      </c>
      <c r="B84" t="s">
        <v>437</v>
      </c>
      <c r="C84" t="s">
        <v>635</v>
      </c>
      <c r="D84" t="s">
        <v>636</v>
      </c>
      <c r="E84" t="s">
        <v>647</v>
      </c>
      <c r="F84">
        <v>6</v>
      </c>
      <c r="G84">
        <v>6839.16</v>
      </c>
      <c r="H84">
        <v>1086.72</v>
      </c>
    </row>
    <row r="85" spans="1:8" x14ac:dyDescent="0.25">
      <c r="A85" t="s">
        <v>91</v>
      </c>
      <c r="B85" t="s">
        <v>438</v>
      </c>
      <c r="C85" t="s">
        <v>633</v>
      </c>
      <c r="D85" t="s">
        <v>636</v>
      </c>
      <c r="E85" t="s">
        <v>639</v>
      </c>
      <c r="F85">
        <v>1</v>
      </c>
      <c r="G85">
        <v>915.97</v>
      </c>
      <c r="H85">
        <v>61.25</v>
      </c>
    </row>
    <row r="86" spans="1:8" x14ac:dyDescent="0.25">
      <c r="A86" t="s">
        <v>92</v>
      </c>
      <c r="B86" t="s">
        <v>439</v>
      </c>
      <c r="C86" t="s">
        <v>635</v>
      </c>
      <c r="D86" t="s">
        <v>637</v>
      </c>
      <c r="E86" t="s">
        <v>649</v>
      </c>
      <c r="F86">
        <v>2</v>
      </c>
      <c r="G86">
        <v>1540.28</v>
      </c>
      <c r="H86">
        <v>247.56</v>
      </c>
    </row>
    <row r="87" spans="1:8" x14ac:dyDescent="0.25">
      <c r="A87" t="s">
        <v>93</v>
      </c>
      <c r="B87" t="s">
        <v>429</v>
      </c>
      <c r="C87" t="s">
        <v>632</v>
      </c>
      <c r="D87" t="s">
        <v>637</v>
      </c>
      <c r="E87" t="s">
        <v>645</v>
      </c>
      <c r="F87">
        <v>4</v>
      </c>
      <c r="G87">
        <v>1920.84</v>
      </c>
      <c r="H87">
        <v>335.67</v>
      </c>
    </row>
    <row r="88" spans="1:8" x14ac:dyDescent="0.25">
      <c r="A88" t="s">
        <v>94</v>
      </c>
      <c r="B88" t="s">
        <v>440</v>
      </c>
      <c r="C88" t="s">
        <v>632</v>
      </c>
      <c r="D88" t="s">
        <v>638</v>
      </c>
      <c r="E88" t="s">
        <v>643</v>
      </c>
      <c r="F88">
        <v>3</v>
      </c>
      <c r="G88">
        <v>2784.39</v>
      </c>
      <c r="H88">
        <v>528.91</v>
      </c>
    </row>
    <row r="89" spans="1:8" x14ac:dyDescent="0.25">
      <c r="A89" t="s">
        <v>95</v>
      </c>
      <c r="B89" t="s">
        <v>406</v>
      </c>
      <c r="C89" t="s">
        <v>635</v>
      </c>
      <c r="D89" t="s">
        <v>638</v>
      </c>
      <c r="E89" t="s">
        <v>642</v>
      </c>
      <c r="F89">
        <v>9</v>
      </c>
      <c r="G89">
        <v>9894.15</v>
      </c>
      <c r="H89">
        <v>2029.49</v>
      </c>
    </row>
    <row r="90" spans="1:8" x14ac:dyDescent="0.25">
      <c r="A90" t="s">
        <v>96</v>
      </c>
      <c r="B90" t="s">
        <v>441</v>
      </c>
      <c r="C90" t="s">
        <v>635</v>
      </c>
      <c r="D90" t="s">
        <v>638</v>
      </c>
      <c r="E90" t="s">
        <v>643</v>
      </c>
      <c r="F90">
        <v>4</v>
      </c>
      <c r="G90">
        <v>750.64</v>
      </c>
      <c r="H90">
        <v>163.81</v>
      </c>
    </row>
    <row r="91" spans="1:8" x14ac:dyDescent="0.25">
      <c r="A91" t="s">
        <v>97</v>
      </c>
      <c r="B91" t="s">
        <v>442</v>
      </c>
      <c r="C91" t="s">
        <v>633</v>
      </c>
      <c r="D91" t="s">
        <v>637</v>
      </c>
      <c r="E91" t="s">
        <v>645</v>
      </c>
      <c r="F91">
        <v>1</v>
      </c>
      <c r="G91">
        <v>134.24</v>
      </c>
      <c r="H91">
        <v>35.36</v>
      </c>
    </row>
    <row r="92" spans="1:8" x14ac:dyDescent="0.25">
      <c r="A92" t="s">
        <v>98</v>
      </c>
      <c r="B92" t="s">
        <v>443</v>
      </c>
      <c r="C92" t="s">
        <v>634</v>
      </c>
      <c r="D92" t="s">
        <v>637</v>
      </c>
      <c r="E92" t="s">
        <v>650</v>
      </c>
      <c r="F92">
        <v>1</v>
      </c>
      <c r="G92">
        <v>1147.9100000000001</v>
      </c>
      <c r="H92">
        <v>271.89</v>
      </c>
    </row>
    <row r="93" spans="1:8" x14ac:dyDescent="0.25">
      <c r="A93" t="s">
        <v>99</v>
      </c>
      <c r="B93" t="s">
        <v>415</v>
      </c>
      <c r="C93" t="s">
        <v>634</v>
      </c>
      <c r="D93" t="s">
        <v>636</v>
      </c>
      <c r="E93" t="s">
        <v>639</v>
      </c>
      <c r="F93">
        <v>8</v>
      </c>
      <c r="G93">
        <v>8887.6</v>
      </c>
      <c r="H93">
        <v>2551.42</v>
      </c>
    </row>
    <row r="94" spans="1:8" x14ac:dyDescent="0.25">
      <c r="A94" t="s">
        <v>100</v>
      </c>
      <c r="B94" t="s">
        <v>444</v>
      </c>
      <c r="C94" t="s">
        <v>633</v>
      </c>
      <c r="D94" t="s">
        <v>637</v>
      </c>
      <c r="E94" t="s">
        <v>645</v>
      </c>
      <c r="F94">
        <v>6</v>
      </c>
      <c r="G94">
        <v>1562.46</v>
      </c>
      <c r="H94">
        <v>341.02</v>
      </c>
    </row>
    <row r="95" spans="1:8" x14ac:dyDescent="0.25">
      <c r="A95" t="s">
        <v>101</v>
      </c>
      <c r="B95" t="s">
        <v>360</v>
      </c>
      <c r="C95" t="s">
        <v>634</v>
      </c>
      <c r="D95" t="s">
        <v>637</v>
      </c>
      <c r="E95" t="s">
        <v>649</v>
      </c>
      <c r="F95">
        <v>3</v>
      </c>
      <c r="G95">
        <v>370.98</v>
      </c>
      <c r="H95">
        <v>106.26</v>
      </c>
    </row>
    <row r="96" spans="1:8" x14ac:dyDescent="0.25">
      <c r="A96" t="s">
        <v>102</v>
      </c>
      <c r="B96" t="s">
        <v>445</v>
      </c>
      <c r="C96" t="s">
        <v>634</v>
      </c>
      <c r="D96" t="s">
        <v>636</v>
      </c>
      <c r="E96" t="s">
        <v>647</v>
      </c>
      <c r="F96">
        <v>9</v>
      </c>
      <c r="G96">
        <v>1184.94</v>
      </c>
      <c r="H96">
        <v>230.86</v>
      </c>
    </row>
    <row r="97" spans="1:8" x14ac:dyDescent="0.25">
      <c r="A97" t="s">
        <v>103</v>
      </c>
      <c r="B97" t="s">
        <v>446</v>
      </c>
      <c r="C97" t="s">
        <v>632</v>
      </c>
      <c r="D97" t="s">
        <v>637</v>
      </c>
      <c r="E97" t="s">
        <v>640</v>
      </c>
      <c r="F97">
        <v>2</v>
      </c>
      <c r="G97">
        <v>771.86</v>
      </c>
      <c r="H97">
        <v>79.48</v>
      </c>
    </row>
    <row r="98" spans="1:8" x14ac:dyDescent="0.25">
      <c r="A98" t="s">
        <v>104</v>
      </c>
      <c r="B98" t="s">
        <v>447</v>
      </c>
      <c r="C98" t="s">
        <v>633</v>
      </c>
      <c r="D98" t="s">
        <v>638</v>
      </c>
      <c r="E98" t="s">
        <v>642</v>
      </c>
      <c r="F98">
        <v>7</v>
      </c>
      <c r="G98">
        <v>2979.41</v>
      </c>
      <c r="H98">
        <v>590.85</v>
      </c>
    </row>
    <row r="99" spans="1:8" x14ac:dyDescent="0.25">
      <c r="A99" t="s">
        <v>105</v>
      </c>
      <c r="B99" t="s">
        <v>448</v>
      </c>
      <c r="C99" t="s">
        <v>632</v>
      </c>
      <c r="D99" t="s">
        <v>636</v>
      </c>
      <c r="E99" t="s">
        <v>647</v>
      </c>
      <c r="F99">
        <v>8</v>
      </c>
      <c r="G99">
        <v>4234.16</v>
      </c>
      <c r="H99">
        <v>1205.29</v>
      </c>
    </row>
    <row r="100" spans="1:8" x14ac:dyDescent="0.25">
      <c r="A100" t="s">
        <v>106</v>
      </c>
      <c r="B100" t="s">
        <v>449</v>
      </c>
      <c r="C100" t="s">
        <v>633</v>
      </c>
      <c r="D100" t="s">
        <v>637</v>
      </c>
      <c r="E100" t="s">
        <v>645</v>
      </c>
      <c r="F100">
        <v>7</v>
      </c>
      <c r="G100">
        <v>5948.11</v>
      </c>
      <c r="H100">
        <v>681.74</v>
      </c>
    </row>
    <row r="101" spans="1:8" x14ac:dyDescent="0.25">
      <c r="A101" t="s">
        <v>107</v>
      </c>
      <c r="B101" t="s">
        <v>450</v>
      </c>
      <c r="C101" t="s">
        <v>635</v>
      </c>
      <c r="D101" t="s">
        <v>637</v>
      </c>
      <c r="E101" t="s">
        <v>649</v>
      </c>
      <c r="F101">
        <v>2</v>
      </c>
      <c r="G101">
        <v>2186.66</v>
      </c>
      <c r="H101">
        <v>192.45</v>
      </c>
    </row>
    <row r="102" spans="1:8" x14ac:dyDescent="0.25">
      <c r="A102" t="s">
        <v>108</v>
      </c>
      <c r="B102" t="s">
        <v>451</v>
      </c>
      <c r="C102" t="s">
        <v>633</v>
      </c>
      <c r="D102" t="s">
        <v>637</v>
      </c>
      <c r="E102" t="s">
        <v>640</v>
      </c>
      <c r="F102">
        <v>6</v>
      </c>
      <c r="G102">
        <v>8540.0400000000009</v>
      </c>
      <c r="H102">
        <v>2475.86</v>
      </c>
    </row>
    <row r="103" spans="1:8" x14ac:dyDescent="0.25">
      <c r="A103" t="s">
        <v>109</v>
      </c>
      <c r="B103" t="s">
        <v>452</v>
      </c>
      <c r="C103" t="s">
        <v>632</v>
      </c>
      <c r="D103" t="s">
        <v>638</v>
      </c>
      <c r="E103" t="s">
        <v>642</v>
      </c>
      <c r="F103">
        <v>2</v>
      </c>
      <c r="G103">
        <v>1298.22</v>
      </c>
      <c r="H103">
        <v>387.85</v>
      </c>
    </row>
    <row r="104" spans="1:8" x14ac:dyDescent="0.25">
      <c r="A104" t="s">
        <v>110</v>
      </c>
      <c r="B104" t="s">
        <v>448</v>
      </c>
      <c r="C104" t="s">
        <v>635</v>
      </c>
      <c r="D104" t="s">
        <v>638</v>
      </c>
      <c r="E104" t="s">
        <v>643</v>
      </c>
      <c r="F104">
        <v>9</v>
      </c>
      <c r="G104">
        <v>10985.58</v>
      </c>
      <c r="H104">
        <v>1929.06</v>
      </c>
    </row>
    <row r="105" spans="1:8" x14ac:dyDescent="0.25">
      <c r="A105" t="s">
        <v>111</v>
      </c>
      <c r="B105" t="s">
        <v>373</v>
      </c>
      <c r="C105" t="s">
        <v>633</v>
      </c>
      <c r="D105" t="s">
        <v>638</v>
      </c>
      <c r="E105" t="s">
        <v>643</v>
      </c>
      <c r="F105">
        <v>2</v>
      </c>
      <c r="G105">
        <v>1679.64</v>
      </c>
      <c r="H105">
        <v>154.69</v>
      </c>
    </row>
    <row r="106" spans="1:8" x14ac:dyDescent="0.25">
      <c r="A106" t="s">
        <v>112</v>
      </c>
      <c r="B106" t="s">
        <v>453</v>
      </c>
      <c r="C106" t="s">
        <v>634</v>
      </c>
      <c r="D106" t="s">
        <v>638</v>
      </c>
      <c r="E106" t="s">
        <v>644</v>
      </c>
      <c r="F106">
        <v>5</v>
      </c>
      <c r="G106">
        <v>1377.7</v>
      </c>
      <c r="H106">
        <v>69.180000000000007</v>
      </c>
    </row>
    <row r="107" spans="1:8" x14ac:dyDescent="0.25">
      <c r="A107" t="s">
        <v>113</v>
      </c>
      <c r="B107" t="s">
        <v>454</v>
      </c>
      <c r="C107" t="s">
        <v>633</v>
      </c>
      <c r="D107" t="s">
        <v>636</v>
      </c>
      <c r="E107" t="s">
        <v>641</v>
      </c>
      <c r="F107">
        <v>9</v>
      </c>
      <c r="G107">
        <v>12013.29</v>
      </c>
      <c r="H107">
        <v>1491.41</v>
      </c>
    </row>
    <row r="108" spans="1:8" x14ac:dyDescent="0.25">
      <c r="A108" t="s">
        <v>114</v>
      </c>
      <c r="B108" t="s">
        <v>455</v>
      </c>
      <c r="C108" t="s">
        <v>633</v>
      </c>
      <c r="D108" t="s">
        <v>638</v>
      </c>
      <c r="E108" t="s">
        <v>643</v>
      </c>
      <c r="F108">
        <v>8</v>
      </c>
      <c r="G108">
        <v>4943.04</v>
      </c>
      <c r="H108">
        <v>1361.2</v>
      </c>
    </row>
    <row r="109" spans="1:8" x14ac:dyDescent="0.25">
      <c r="A109" t="s">
        <v>115</v>
      </c>
      <c r="B109" t="s">
        <v>456</v>
      </c>
      <c r="C109" t="s">
        <v>634</v>
      </c>
      <c r="D109" t="s">
        <v>638</v>
      </c>
      <c r="E109" t="s">
        <v>644</v>
      </c>
      <c r="F109">
        <v>9</v>
      </c>
      <c r="G109">
        <v>6198.3</v>
      </c>
      <c r="H109">
        <v>885.01</v>
      </c>
    </row>
    <row r="110" spans="1:8" x14ac:dyDescent="0.25">
      <c r="A110" t="s">
        <v>116</v>
      </c>
      <c r="B110" t="s">
        <v>457</v>
      </c>
      <c r="C110" t="s">
        <v>635</v>
      </c>
      <c r="D110" t="s">
        <v>636</v>
      </c>
      <c r="E110" t="s">
        <v>639</v>
      </c>
      <c r="F110">
        <v>7</v>
      </c>
      <c r="G110">
        <v>8562.5400000000009</v>
      </c>
      <c r="H110">
        <v>2211.1799999999998</v>
      </c>
    </row>
    <row r="111" spans="1:8" x14ac:dyDescent="0.25">
      <c r="A111" t="s">
        <v>117</v>
      </c>
      <c r="B111" t="s">
        <v>458</v>
      </c>
      <c r="C111" t="s">
        <v>635</v>
      </c>
      <c r="D111" t="s">
        <v>637</v>
      </c>
      <c r="E111" t="s">
        <v>640</v>
      </c>
      <c r="F111">
        <v>7</v>
      </c>
      <c r="G111">
        <v>1372.28</v>
      </c>
      <c r="H111">
        <v>160.88</v>
      </c>
    </row>
    <row r="112" spans="1:8" x14ac:dyDescent="0.25">
      <c r="A112" t="s">
        <v>118</v>
      </c>
      <c r="B112" t="s">
        <v>459</v>
      </c>
      <c r="C112" t="s">
        <v>635</v>
      </c>
      <c r="D112" t="s">
        <v>638</v>
      </c>
      <c r="E112" t="s">
        <v>642</v>
      </c>
      <c r="F112">
        <v>4</v>
      </c>
      <c r="G112">
        <v>4087.32</v>
      </c>
      <c r="H112">
        <v>229.62</v>
      </c>
    </row>
    <row r="113" spans="1:8" x14ac:dyDescent="0.25">
      <c r="A113" t="s">
        <v>119</v>
      </c>
      <c r="B113" t="s">
        <v>460</v>
      </c>
      <c r="C113" t="s">
        <v>632</v>
      </c>
      <c r="D113" t="s">
        <v>636</v>
      </c>
      <c r="E113" t="s">
        <v>648</v>
      </c>
      <c r="F113">
        <v>5</v>
      </c>
      <c r="G113">
        <v>2782.4</v>
      </c>
      <c r="H113">
        <v>617.16999999999996</v>
      </c>
    </row>
    <row r="114" spans="1:8" x14ac:dyDescent="0.25">
      <c r="A114" t="s">
        <v>120</v>
      </c>
      <c r="B114" t="s">
        <v>461</v>
      </c>
      <c r="C114" t="s">
        <v>635</v>
      </c>
      <c r="D114" t="s">
        <v>637</v>
      </c>
      <c r="E114" t="s">
        <v>645</v>
      </c>
      <c r="F114">
        <v>8</v>
      </c>
      <c r="G114">
        <v>1151.52</v>
      </c>
      <c r="H114">
        <v>181.14</v>
      </c>
    </row>
    <row r="115" spans="1:8" x14ac:dyDescent="0.25">
      <c r="A115" t="s">
        <v>121</v>
      </c>
      <c r="B115" t="s">
        <v>462</v>
      </c>
      <c r="C115" t="s">
        <v>632</v>
      </c>
      <c r="D115" t="s">
        <v>638</v>
      </c>
      <c r="E115" t="s">
        <v>643</v>
      </c>
      <c r="F115">
        <v>6</v>
      </c>
      <c r="G115">
        <v>3190.26</v>
      </c>
      <c r="H115">
        <v>941.25</v>
      </c>
    </row>
    <row r="116" spans="1:8" x14ac:dyDescent="0.25">
      <c r="A116" t="s">
        <v>122</v>
      </c>
      <c r="B116" t="s">
        <v>463</v>
      </c>
      <c r="C116" t="s">
        <v>632</v>
      </c>
      <c r="D116" t="s">
        <v>638</v>
      </c>
      <c r="E116" t="s">
        <v>642</v>
      </c>
      <c r="F116">
        <v>8</v>
      </c>
      <c r="G116">
        <v>3340.64</v>
      </c>
      <c r="H116">
        <v>676.35</v>
      </c>
    </row>
    <row r="117" spans="1:8" x14ac:dyDescent="0.25">
      <c r="A117" t="s">
        <v>123</v>
      </c>
      <c r="B117" t="s">
        <v>464</v>
      </c>
      <c r="C117" t="s">
        <v>635</v>
      </c>
      <c r="D117" t="s">
        <v>638</v>
      </c>
      <c r="E117" t="s">
        <v>644</v>
      </c>
      <c r="F117">
        <v>5</v>
      </c>
      <c r="G117">
        <v>1227.05</v>
      </c>
      <c r="H117">
        <v>114.16</v>
      </c>
    </row>
    <row r="118" spans="1:8" x14ac:dyDescent="0.25">
      <c r="A118" t="s">
        <v>124</v>
      </c>
      <c r="B118" t="s">
        <v>441</v>
      </c>
      <c r="C118" t="s">
        <v>634</v>
      </c>
      <c r="D118" t="s">
        <v>638</v>
      </c>
      <c r="E118" t="s">
        <v>644</v>
      </c>
      <c r="F118">
        <v>9</v>
      </c>
      <c r="G118">
        <v>3797.91</v>
      </c>
      <c r="H118">
        <v>1120.7</v>
      </c>
    </row>
    <row r="119" spans="1:8" x14ac:dyDescent="0.25">
      <c r="A119" t="s">
        <v>125</v>
      </c>
      <c r="B119" t="s">
        <v>465</v>
      </c>
      <c r="C119" t="s">
        <v>632</v>
      </c>
      <c r="D119" t="s">
        <v>636</v>
      </c>
      <c r="E119" t="s">
        <v>639</v>
      </c>
      <c r="F119">
        <v>6</v>
      </c>
      <c r="G119">
        <v>6821.94</v>
      </c>
      <c r="H119">
        <v>969.94</v>
      </c>
    </row>
    <row r="120" spans="1:8" x14ac:dyDescent="0.25">
      <c r="A120" t="s">
        <v>126</v>
      </c>
      <c r="B120" t="s">
        <v>466</v>
      </c>
      <c r="C120" t="s">
        <v>633</v>
      </c>
      <c r="D120" t="s">
        <v>636</v>
      </c>
      <c r="E120" t="s">
        <v>641</v>
      </c>
      <c r="F120">
        <v>2</v>
      </c>
      <c r="G120">
        <v>1370.98</v>
      </c>
      <c r="H120">
        <v>258.04000000000002</v>
      </c>
    </row>
    <row r="121" spans="1:8" x14ac:dyDescent="0.25">
      <c r="A121" t="s">
        <v>127</v>
      </c>
      <c r="B121" t="s">
        <v>440</v>
      </c>
      <c r="C121" t="s">
        <v>634</v>
      </c>
      <c r="D121" t="s">
        <v>637</v>
      </c>
      <c r="E121" t="s">
        <v>649</v>
      </c>
      <c r="F121">
        <v>5</v>
      </c>
      <c r="G121">
        <v>2134.4499999999998</v>
      </c>
      <c r="H121">
        <v>623.41</v>
      </c>
    </row>
    <row r="122" spans="1:8" x14ac:dyDescent="0.25">
      <c r="A122" t="s">
        <v>128</v>
      </c>
      <c r="B122" t="s">
        <v>467</v>
      </c>
      <c r="C122" t="s">
        <v>635</v>
      </c>
      <c r="D122" t="s">
        <v>636</v>
      </c>
      <c r="E122" t="s">
        <v>641</v>
      </c>
      <c r="F122">
        <v>8</v>
      </c>
      <c r="G122">
        <v>2821.6</v>
      </c>
      <c r="H122">
        <v>808.7</v>
      </c>
    </row>
    <row r="123" spans="1:8" x14ac:dyDescent="0.25">
      <c r="A123" t="s">
        <v>129</v>
      </c>
      <c r="B123" t="s">
        <v>410</v>
      </c>
      <c r="C123" t="s">
        <v>635</v>
      </c>
      <c r="D123" t="s">
        <v>638</v>
      </c>
      <c r="E123" t="s">
        <v>646</v>
      </c>
      <c r="F123">
        <v>3</v>
      </c>
      <c r="G123">
        <v>105.84</v>
      </c>
      <c r="H123">
        <v>6.88</v>
      </c>
    </row>
    <row r="124" spans="1:8" x14ac:dyDescent="0.25">
      <c r="A124" t="s">
        <v>130</v>
      </c>
      <c r="B124" t="s">
        <v>361</v>
      </c>
      <c r="C124" t="s">
        <v>635</v>
      </c>
      <c r="D124" t="s">
        <v>638</v>
      </c>
      <c r="E124" t="s">
        <v>642</v>
      </c>
      <c r="F124">
        <v>2</v>
      </c>
      <c r="G124">
        <v>2892.62</v>
      </c>
      <c r="H124">
        <v>738.44</v>
      </c>
    </row>
    <row r="125" spans="1:8" x14ac:dyDescent="0.25">
      <c r="A125" t="s">
        <v>131</v>
      </c>
      <c r="B125" t="s">
        <v>468</v>
      </c>
      <c r="C125" t="s">
        <v>634</v>
      </c>
      <c r="D125" t="s">
        <v>636</v>
      </c>
      <c r="E125" t="s">
        <v>648</v>
      </c>
      <c r="F125">
        <v>2</v>
      </c>
      <c r="G125">
        <v>2097.58</v>
      </c>
      <c r="H125">
        <v>474.38</v>
      </c>
    </row>
    <row r="126" spans="1:8" x14ac:dyDescent="0.25">
      <c r="A126" t="s">
        <v>132</v>
      </c>
      <c r="B126" t="s">
        <v>469</v>
      </c>
      <c r="C126" t="s">
        <v>634</v>
      </c>
      <c r="D126" t="s">
        <v>637</v>
      </c>
      <c r="E126" t="s">
        <v>645</v>
      </c>
      <c r="F126">
        <v>1</v>
      </c>
      <c r="G126">
        <v>391.78</v>
      </c>
      <c r="H126">
        <v>115.28</v>
      </c>
    </row>
    <row r="127" spans="1:8" x14ac:dyDescent="0.25">
      <c r="A127" t="s">
        <v>133</v>
      </c>
      <c r="B127" t="s">
        <v>470</v>
      </c>
      <c r="C127" t="s">
        <v>632</v>
      </c>
      <c r="D127" t="s">
        <v>637</v>
      </c>
      <c r="E127" t="s">
        <v>640</v>
      </c>
      <c r="F127">
        <v>3</v>
      </c>
      <c r="G127">
        <v>2707.32</v>
      </c>
      <c r="H127">
        <v>180.12</v>
      </c>
    </row>
    <row r="128" spans="1:8" x14ac:dyDescent="0.25">
      <c r="A128" t="s">
        <v>134</v>
      </c>
      <c r="B128" t="s">
        <v>471</v>
      </c>
      <c r="C128" t="s">
        <v>635</v>
      </c>
      <c r="D128" t="s">
        <v>637</v>
      </c>
      <c r="E128" t="s">
        <v>649</v>
      </c>
      <c r="F128">
        <v>5</v>
      </c>
      <c r="G128">
        <v>3344</v>
      </c>
      <c r="H128">
        <v>942.05</v>
      </c>
    </row>
    <row r="129" spans="1:8" x14ac:dyDescent="0.25">
      <c r="A129" t="s">
        <v>135</v>
      </c>
      <c r="B129" t="s">
        <v>472</v>
      </c>
      <c r="C129" t="s">
        <v>634</v>
      </c>
      <c r="D129" t="s">
        <v>637</v>
      </c>
      <c r="E129" t="s">
        <v>650</v>
      </c>
      <c r="F129">
        <v>9</v>
      </c>
      <c r="G129">
        <v>10681.29</v>
      </c>
      <c r="H129">
        <v>2960.45</v>
      </c>
    </row>
    <row r="130" spans="1:8" x14ac:dyDescent="0.25">
      <c r="A130" t="s">
        <v>136</v>
      </c>
      <c r="B130" t="s">
        <v>473</v>
      </c>
      <c r="C130" t="s">
        <v>632</v>
      </c>
      <c r="D130" t="s">
        <v>636</v>
      </c>
      <c r="E130" t="s">
        <v>639</v>
      </c>
      <c r="F130">
        <v>2</v>
      </c>
      <c r="G130">
        <v>240.48</v>
      </c>
      <c r="H130">
        <v>53.76</v>
      </c>
    </row>
    <row r="131" spans="1:8" x14ac:dyDescent="0.25">
      <c r="A131" t="s">
        <v>137</v>
      </c>
      <c r="B131" t="s">
        <v>474</v>
      </c>
      <c r="C131" t="s">
        <v>632</v>
      </c>
      <c r="D131" t="s">
        <v>637</v>
      </c>
      <c r="E131" t="s">
        <v>640</v>
      </c>
      <c r="F131">
        <v>6</v>
      </c>
      <c r="G131">
        <v>7296.06</v>
      </c>
      <c r="H131">
        <v>486.92</v>
      </c>
    </row>
    <row r="132" spans="1:8" x14ac:dyDescent="0.25">
      <c r="A132" t="s">
        <v>138</v>
      </c>
      <c r="B132" t="s">
        <v>475</v>
      </c>
      <c r="C132" t="s">
        <v>633</v>
      </c>
      <c r="D132" t="s">
        <v>638</v>
      </c>
      <c r="E132" t="s">
        <v>643</v>
      </c>
      <c r="F132">
        <v>7</v>
      </c>
      <c r="G132">
        <v>8371.58</v>
      </c>
      <c r="H132">
        <v>2104.08</v>
      </c>
    </row>
    <row r="133" spans="1:8" x14ac:dyDescent="0.25">
      <c r="A133" t="s">
        <v>139</v>
      </c>
      <c r="B133" t="s">
        <v>476</v>
      </c>
      <c r="C133" t="s">
        <v>632</v>
      </c>
      <c r="D133" t="s">
        <v>636</v>
      </c>
      <c r="E133" t="s">
        <v>647</v>
      </c>
      <c r="F133">
        <v>2</v>
      </c>
      <c r="G133">
        <v>810.36</v>
      </c>
      <c r="H133">
        <v>203.34</v>
      </c>
    </row>
    <row r="134" spans="1:8" x14ac:dyDescent="0.25">
      <c r="A134" t="s">
        <v>140</v>
      </c>
      <c r="B134" t="s">
        <v>477</v>
      </c>
      <c r="C134" t="s">
        <v>632</v>
      </c>
      <c r="D134" t="s">
        <v>637</v>
      </c>
      <c r="E134" t="s">
        <v>645</v>
      </c>
      <c r="F134">
        <v>5</v>
      </c>
      <c r="G134">
        <v>7294.85</v>
      </c>
      <c r="H134">
        <v>559.71</v>
      </c>
    </row>
    <row r="135" spans="1:8" x14ac:dyDescent="0.25">
      <c r="A135" t="s">
        <v>141</v>
      </c>
      <c r="B135" t="s">
        <v>478</v>
      </c>
      <c r="C135" t="s">
        <v>635</v>
      </c>
      <c r="D135" t="s">
        <v>637</v>
      </c>
      <c r="E135" t="s">
        <v>640</v>
      </c>
      <c r="F135">
        <v>7</v>
      </c>
      <c r="G135">
        <v>6133.47</v>
      </c>
      <c r="H135">
        <v>1403.41</v>
      </c>
    </row>
    <row r="136" spans="1:8" x14ac:dyDescent="0.25">
      <c r="A136" t="s">
        <v>142</v>
      </c>
      <c r="B136" t="s">
        <v>479</v>
      </c>
      <c r="C136" t="s">
        <v>633</v>
      </c>
      <c r="D136" t="s">
        <v>638</v>
      </c>
      <c r="E136" t="s">
        <v>643</v>
      </c>
      <c r="F136">
        <v>7</v>
      </c>
      <c r="G136">
        <v>8296.68</v>
      </c>
      <c r="H136">
        <v>519.72</v>
      </c>
    </row>
    <row r="137" spans="1:8" x14ac:dyDescent="0.25">
      <c r="A137" t="s">
        <v>143</v>
      </c>
      <c r="B137" t="s">
        <v>480</v>
      </c>
      <c r="C137" t="s">
        <v>635</v>
      </c>
      <c r="D137" t="s">
        <v>638</v>
      </c>
      <c r="E137" t="s">
        <v>642</v>
      </c>
      <c r="F137">
        <v>6</v>
      </c>
      <c r="G137">
        <v>641.52</v>
      </c>
      <c r="H137">
        <v>187.26</v>
      </c>
    </row>
    <row r="138" spans="1:8" x14ac:dyDescent="0.25">
      <c r="A138" t="s">
        <v>144</v>
      </c>
      <c r="B138" t="s">
        <v>481</v>
      </c>
      <c r="C138" t="s">
        <v>634</v>
      </c>
      <c r="D138" t="s">
        <v>636</v>
      </c>
      <c r="E138" t="s">
        <v>648</v>
      </c>
      <c r="F138">
        <v>6</v>
      </c>
      <c r="G138">
        <v>3223.38</v>
      </c>
      <c r="H138">
        <v>282.76</v>
      </c>
    </row>
    <row r="139" spans="1:8" x14ac:dyDescent="0.25">
      <c r="A139" t="s">
        <v>145</v>
      </c>
      <c r="B139" t="s">
        <v>482</v>
      </c>
      <c r="C139" t="s">
        <v>632</v>
      </c>
      <c r="D139" t="s">
        <v>636</v>
      </c>
      <c r="E139" t="s">
        <v>639</v>
      </c>
      <c r="F139">
        <v>6</v>
      </c>
      <c r="G139">
        <v>1982.94</v>
      </c>
      <c r="H139">
        <v>362.12</v>
      </c>
    </row>
    <row r="140" spans="1:8" x14ac:dyDescent="0.25">
      <c r="A140" t="s">
        <v>146</v>
      </c>
      <c r="B140" t="s">
        <v>483</v>
      </c>
      <c r="C140" t="s">
        <v>634</v>
      </c>
      <c r="D140" t="s">
        <v>636</v>
      </c>
      <c r="E140" t="s">
        <v>639</v>
      </c>
      <c r="F140">
        <v>7</v>
      </c>
      <c r="G140">
        <v>9461.69</v>
      </c>
      <c r="H140">
        <v>2219.2600000000002</v>
      </c>
    </row>
    <row r="141" spans="1:8" x14ac:dyDescent="0.25">
      <c r="A141" t="s">
        <v>147</v>
      </c>
      <c r="B141" t="s">
        <v>484</v>
      </c>
      <c r="C141" t="s">
        <v>632</v>
      </c>
      <c r="D141" t="s">
        <v>636</v>
      </c>
      <c r="E141" t="s">
        <v>639</v>
      </c>
      <c r="F141">
        <v>2</v>
      </c>
      <c r="G141">
        <v>1667.1</v>
      </c>
      <c r="H141">
        <v>303.26</v>
      </c>
    </row>
    <row r="142" spans="1:8" x14ac:dyDescent="0.25">
      <c r="A142" t="s">
        <v>148</v>
      </c>
      <c r="B142" t="s">
        <v>485</v>
      </c>
      <c r="C142" t="s">
        <v>635</v>
      </c>
      <c r="D142" t="s">
        <v>638</v>
      </c>
      <c r="E142" t="s">
        <v>643</v>
      </c>
      <c r="F142">
        <v>5</v>
      </c>
      <c r="G142">
        <v>3883.4</v>
      </c>
      <c r="H142">
        <v>541.24</v>
      </c>
    </row>
    <row r="143" spans="1:8" x14ac:dyDescent="0.25">
      <c r="A143" t="s">
        <v>149</v>
      </c>
      <c r="B143" t="s">
        <v>486</v>
      </c>
      <c r="C143" t="s">
        <v>635</v>
      </c>
      <c r="D143" t="s">
        <v>638</v>
      </c>
      <c r="E143" t="s">
        <v>646</v>
      </c>
      <c r="F143">
        <v>7</v>
      </c>
      <c r="G143">
        <v>9611.42</v>
      </c>
      <c r="H143">
        <v>756.15</v>
      </c>
    </row>
    <row r="144" spans="1:8" x14ac:dyDescent="0.25">
      <c r="A144" t="s">
        <v>150</v>
      </c>
      <c r="B144" t="s">
        <v>487</v>
      </c>
      <c r="C144" t="s">
        <v>632</v>
      </c>
      <c r="D144" t="s">
        <v>637</v>
      </c>
      <c r="E144" t="s">
        <v>645</v>
      </c>
      <c r="F144">
        <v>3</v>
      </c>
      <c r="G144">
        <v>3440.43</v>
      </c>
      <c r="H144">
        <v>904.66</v>
      </c>
    </row>
    <row r="145" spans="1:8" x14ac:dyDescent="0.25">
      <c r="A145" t="s">
        <v>151</v>
      </c>
      <c r="B145" t="s">
        <v>488</v>
      </c>
      <c r="C145" t="s">
        <v>634</v>
      </c>
      <c r="D145" t="s">
        <v>638</v>
      </c>
      <c r="E145" t="s">
        <v>643</v>
      </c>
      <c r="F145">
        <v>7</v>
      </c>
      <c r="G145">
        <v>3426.43</v>
      </c>
      <c r="H145">
        <v>260.83999999999997</v>
      </c>
    </row>
    <row r="146" spans="1:8" x14ac:dyDescent="0.25">
      <c r="A146" t="s">
        <v>152</v>
      </c>
      <c r="B146" t="s">
        <v>489</v>
      </c>
      <c r="C146" t="s">
        <v>635</v>
      </c>
      <c r="D146" t="s">
        <v>637</v>
      </c>
      <c r="E146" t="s">
        <v>640</v>
      </c>
      <c r="F146">
        <v>7</v>
      </c>
      <c r="G146">
        <v>5894.84</v>
      </c>
      <c r="H146">
        <v>1715.18</v>
      </c>
    </row>
    <row r="147" spans="1:8" x14ac:dyDescent="0.25">
      <c r="A147" t="s">
        <v>153</v>
      </c>
      <c r="B147" t="s">
        <v>490</v>
      </c>
      <c r="C147" t="s">
        <v>634</v>
      </c>
      <c r="D147" t="s">
        <v>638</v>
      </c>
      <c r="E147" t="s">
        <v>644</v>
      </c>
      <c r="F147">
        <v>1</v>
      </c>
      <c r="G147">
        <v>1494.67</v>
      </c>
      <c r="H147">
        <v>377.94</v>
      </c>
    </row>
    <row r="148" spans="1:8" x14ac:dyDescent="0.25">
      <c r="A148" t="s">
        <v>154</v>
      </c>
      <c r="B148" t="s">
        <v>491</v>
      </c>
      <c r="C148" t="s">
        <v>633</v>
      </c>
      <c r="D148" t="s">
        <v>638</v>
      </c>
      <c r="E148" t="s">
        <v>643</v>
      </c>
      <c r="F148">
        <v>9</v>
      </c>
      <c r="G148">
        <v>6296.58</v>
      </c>
      <c r="H148">
        <v>1585.94</v>
      </c>
    </row>
    <row r="149" spans="1:8" x14ac:dyDescent="0.25">
      <c r="A149" t="s">
        <v>155</v>
      </c>
      <c r="B149" t="s">
        <v>492</v>
      </c>
      <c r="C149" t="s">
        <v>635</v>
      </c>
      <c r="D149" t="s">
        <v>637</v>
      </c>
      <c r="E149" t="s">
        <v>640</v>
      </c>
      <c r="F149">
        <v>5</v>
      </c>
      <c r="G149">
        <v>7263</v>
      </c>
      <c r="H149">
        <v>1649.03</v>
      </c>
    </row>
    <row r="150" spans="1:8" x14ac:dyDescent="0.25">
      <c r="A150" t="s">
        <v>156</v>
      </c>
      <c r="B150" t="s">
        <v>446</v>
      </c>
      <c r="C150" t="s">
        <v>632</v>
      </c>
      <c r="D150" t="s">
        <v>638</v>
      </c>
      <c r="E150" t="s">
        <v>642</v>
      </c>
      <c r="F150">
        <v>8</v>
      </c>
      <c r="G150">
        <v>7507.04</v>
      </c>
      <c r="H150">
        <v>871</v>
      </c>
    </row>
    <row r="151" spans="1:8" x14ac:dyDescent="0.25">
      <c r="A151" t="s">
        <v>157</v>
      </c>
      <c r="B151" t="s">
        <v>380</v>
      </c>
      <c r="C151" t="s">
        <v>635</v>
      </c>
      <c r="D151" t="s">
        <v>637</v>
      </c>
      <c r="E151" t="s">
        <v>650</v>
      </c>
      <c r="F151">
        <v>1</v>
      </c>
      <c r="G151">
        <v>476.45</v>
      </c>
      <c r="H151">
        <v>63.3</v>
      </c>
    </row>
    <row r="152" spans="1:8" x14ac:dyDescent="0.25">
      <c r="A152" t="s">
        <v>158</v>
      </c>
      <c r="B152" t="s">
        <v>493</v>
      </c>
      <c r="C152" t="s">
        <v>635</v>
      </c>
      <c r="D152" t="s">
        <v>637</v>
      </c>
      <c r="E152" t="s">
        <v>640</v>
      </c>
      <c r="F152">
        <v>9</v>
      </c>
      <c r="G152">
        <v>4602.0600000000004</v>
      </c>
      <c r="H152">
        <v>1165.51</v>
      </c>
    </row>
    <row r="153" spans="1:8" x14ac:dyDescent="0.25">
      <c r="A153" t="s">
        <v>159</v>
      </c>
      <c r="B153" t="s">
        <v>478</v>
      </c>
      <c r="C153" t="s">
        <v>635</v>
      </c>
      <c r="D153" t="s">
        <v>636</v>
      </c>
      <c r="E153" t="s">
        <v>648</v>
      </c>
      <c r="F153">
        <v>5</v>
      </c>
      <c r="G153">
        <v>4281.2</v>
      </c>
      <c r="H153">
        <v>776.07</v>
      </c>
    </row>
    <row r="154" spans="1:8" x14ac:dyDescent="0.25">
      <c r="A154" t="s">
        <v>160</v>
      </c>
      <c r="B154" t="s">
        <v>494</v>
      </c>
      <c r="C154" t="s">
        <v>633</v>
      </c>
      <c r="D154" t="s">
        <v>636</v>
      </c>
      <c r="E154" t="s">
        <v>641</v>
      </c>
      <c r="F154">
        <v>8</v>
      </c>
      <c r="G154">
        <v>3598.4</v>
      </c>
      <c r="H154">
        <v>958.75</v>
      </c>
    </row>
    <row r="155" spans="1:8" x14ac:dyDescent="0.25">
      <c r="A155" t="s">
        <v>161</v>
      </c>
      <c r="B155" t="s">
        <v>495</v>
      </c>
      <c r="C155" t="s">
        <v>635</v>
      </c>
      <c r="D155" t="s">
        <v>636</v>
      </c>
      <c r="E155" t="s">
        <v>647</v>
      </c>
      <c r="F155">
        <v>6</v>
      </c>
      <c r="G155">
        <v>4702.74</v>
      </c>
      <c r="H155">
        <v>619.95000000000005</v>
      </c>
    </row>
    <row r="156" spans="1:8" x14ac:dyDescent="0.25">
      <c r="A156" t="s">
        <v>162</v>
      </c>
      <c r="B156" t="s">
        <v>496</v>
      </c>
      <c r="C156" t="s">
        <v>633</v>
      </c>
      <c r="D156" t="s">
        <v>638</v>
      </c>
      <c r="E156" t="s">
        <v>646</v>
      </c>
      <c r="F156">
        <v>3</v>
      </c>
      <c r="G156">
        <v>3866.28</v>
      </c>
      <c r="H156">
        <v>1136.94</v>
      </c>
    </row>
    <row r="157" spans="1:8" x14ac:dyDescent="0.25">
      <c r="A157" t="s">
        <v>163</v>
      </c>
      <c r="B157" t="s">
        <v>497</v>
      </c>
      <c r="C157" t="s">
        <v>632</v>
      </c>
      <c r="D157" t="s">
        <v>638</v>
      </c>
      <c r="E157" t="s">
        <v>642</v>
      </c>
      <c r="F157">
        <v>3</v>
      </c>
      <c r="G157">
        <v>2719.98</v>
      </c>
      <c r="H157">
        <v>243.28</v>
      </c>
    </row>
    <row r="158" spans="1:8" x14ac:dyDescent="0.25">
      <c r="A158" t="s">
        <v>164</v>
      </c>
      <c r="B158" t="s">
        <v>498</v>
      </c>
      <c r="C158" t="s">
        <v>635</v>
      </c>
      <c r="D158" t="s">
        <v>636</v>
      </c>
      <c r="E158" t="s">
        <v>641</v>
      </c>
      <c r="F158">
        <v>5</v>
      </c>
      <c r="G158">
        <v>6622.5</v>
      </c>
      <c r="H158">
        <v>827.96</v>
      </c>
    </row>
    <row r="159" spans="1:8" x14ac:dyDescent="0.25">
      <c r="A159" t="s">
        <v>165</v>
      </c>
      <c r="B159" t="s">
        <v>499</v>
      </c>
      <c r="C159" t="s">
        <v>632</v>
      </c>
      <c r="D159" t="s">
        <v>638</v>
      </c>
      <c r="E159" t="s">
        <v>643</v>
      </c>
      <c r="F159">
        <v>5</v>
      </c>
      <c r="G159">
        <v>7204.8</v>
      </c>
      <c r="H159">
        <v>2152.52</v>
      </c>
    </row>
    <row r="160" spans="1:8" x14ac:dyDescent="0.25">
      <c r="A160" t="s">
        <v>166</v>
      </c>
      <c r="B160" t="s">
        <v>419</v>
      </c>
      <c r="C160" t="s">
        <v>632</v>
      </c>
      <c r="D160" t="s">
        <v>637</v>
      </c>
      <c r="E160" t="s">
        <v>645</v>
      </c>
      <c r="F160">
        <v>1</v>
      </c>
      <c r="G160">
        <v>934.17</v>
      </c>
      <c r="H160">
        <v>193.1</v>
      </c>
    </row>
    <row r="161" spans="1:8" x14ac:dyDescent="0.25">
      <c r="A161" t="s">
        <v>167</v>
      </c>
      <c r="B161" t="s">
        <v>455</v>
      </c>
      <c r="C161" t="s">
        <v>632</v>
      </c>
      <c r="D161" t="s">
        <v>637</v>
      </c>
      <c r="E161" t="s">
        <v>649</v>
      </c>
      <c r="F161">
        <v>5</v>
      </c>
      <c r="G161">
        <v>7006.75</v>
      </c>
      <c r="H161">
        <v>595.91</v>
      </c>
    </row>
    <row r="162" spans="1:8" x14ac:dyDescent="0.25">
      <c r="A162" t="s">
        <v>168</v>
      </c>
      <c r="B162" t="s">
        <v>500</v>
      </c>
      <c r="C162" t="s">
        <v>634</v>
      </c>
      <c r="D162" t="s">
        <v>637</v>
      </c>
      <c r="E162" t="s">
        <v>649</v>
      </c>
      <c r="F162">
        <v>2</v>
      </c>
      <c r="G162">
        <v>2818.82</v>
      </c>
      <c r="H162">
        <v>640.27</v>
      </c>
    </row>
    <row r="163" spans="1:8" x14ac:dyDescent="0.25">
      <c r="A163" t="s">
        <v>169</v>
      </c>
      <c r="B163" t="s">
        <v>501</v>
      </c>
      <c r="C163" t="s">
        <v>632</v>
      </c>
      <c r="D163" t="s">
        <v>638</v>
      </c>
      <c r="E163" t="s">
        <v>646</v>
      </c>
      <c r="F163">
        <v>9</v>
      </c>
      <c r="G163">
        <v>11361.06</v>
      </c>
      <c r="H163">
        <v>2109.5100000000002</v>
      </c>
    </row>
    <row r="164" spans="1:8" x14ac:dyDescent="0.25">
      <c r="A164" t="s">
        <v>170</v>
      </c>
      <c r="B164" t="s">
        <v>472</v>
      </c>
      <c r="C164" t="s">
        <v>633</v>
      </c>
      <c r="D164" t="s">
        <v>638</v>
      </c>
      <c r="E164" t="s">
        <v>646</v>
      </c>
      <c r="F164">
        <v>8</v>
      </c>
      <c r="G164">
        <v>1459.04</v>
      </c>
      <c r="H164">
        <v>204.91</v>
      </c>
    </row>
    <row r="165" spans="1:8" x14ac:dyDescent="0.25">
      <c r="A165" t="s">
        <v>171</v>
      </c>
      <c r="B165" t="s">
        <v>502</v>
      </c>
      <c r="C165" t="s">
        <v>632</v>
      </c>
      <c r="D165" t="s">
        <v>638</v>
      </c>
      <c r="E165" t="s">
        <v>644</v>
      </c>
      <c r="F165">
        <v>3</v>
      </c>
      <c r="G165">
        <v>2987.91</v>
      </c>
      <c r="H165">
        <v>881.57</v>
      </c>
    </row>
    <row r="166" spans="1:8" x14ac:dyDescent="0.25">
      <c r="A166" t="s">
        <v>172</v>
      </c>
      <c r="B166" t="s">
        <v>503</v>
      </c>
      <c r="C166" t="s">
        <v>632</v>
      </c>
      <c r="D166" t="s">
        <v>637</v>
      </c>
      <c r="E166" t="s">
        <v>649</v>
      </c>
      <c r="F166">
        <v>4</v>
      </c>
      <c r="G166">
        <v>1677.4</v>
      </c>
      <c r="H166">
        <v>483.57</v>
      </c>
    </row>
    <row r="167" spans="1:8" x14ac:dyDescent="0.25">
      <c r="A167" t="s">
        <v>173</v>
      </c>
      <c r="B167" t="s">
        <v>486</v>
      </c>
      <c r="C167" t="s">
        <v>634</v>
      </c>
      <c r="D167" t="s">
        <v>636</v>
      </c>
      <c r="E167" t="s">
        <v>647</v>
      </c>
      <c r="F167">
        <v>9</v>
      </c>
      <c r="G167">
        <v>1354.05</v>
      </c>
      <c r="H167">
        <v>289.97000000000003</v>
      </c>
    </row>
    <row r="168" spans="1:8" x14ac:dyDescent="0.25">
      <c r="A168" t="s">
        <v>174</v>
      </c>
      <c r="B168" t="s">
        <v>504</v>
      </c>
      <c r="C168" t="s">
        <v>635</v>
      </c>
      <c r="D168" t="s">
        <v>636</v>
      </c>
      <c r="E168" t="s">
        <v>641</v>
      </c>
      <c r="F168">
        <v>7</v>
      </c>
      <c r="G168">
        <v>6969.13</v>
      </c>
      <c r="H168">
        <v>1078.96</v>
      </c>
    </row>
    <row r="169" spans="1:8" x14ac:dyDescent="0.25">
      <c r="A169" t="s">
        <v>175</v>
      </c>
      <c r="B169" t="s">
        <v>505</v>
      </c>
      <c r="C169" t="s">
        <v>634</v>
      </c>
      <c r="D169" t="s">
        <v>638</v>
      </c>
      <c r="E169" t="s">
        <v>646</v>
      </c>
      <c r="F169">
        <v>1</v>
      </c>
      <c r="G169">
        <v>1219.24</v>
      </c>
      <c r="H169">
        <v>199.73</v>
      </c>
    </row>
    <row r="170" spans="1:8" x14ac:dyDescent="0.25">
      <c r="A170" t="s">
        <v>176</v>
      </c>
      <c r="B170" t="s">
        <v>506</v>
      </c>
      <c r="C170" t="s">
        <v>634</v>
      </c>
      <c r="D170" t="s">
        <v>636</v>
      </c>
      <c r="E170" t="s">
        <v>639</v>
      </c>
      <c r="F170">
        <v>2</v>
      </c>
      <c r="G170">
        <v>1511.08</v>
      </c>
      <c r="H170">
        <v>353.36</v>
      </c>
    </row>
    <row r="171" spans="1:8" x14ac:dyDescent="0.25">
      <c r="A171" t="s">
        <v>177</v>
      </c>
      <c r="B171" t="s">
        <v>394</v>
      </c>
      <c r="C171" t="s">
        <v>634</v>
      </c>
      <c r="D171" t="s">
        <v>636</v>
      </c>
      <c r="E171" t="s">
        <v>639</v>
      </c>
      <c r="F171">
        <v>8</v>
      </c>
      <c r="G171">
        <v>6807.68</v>
      </c>
      <c r="H171">
        <v>1489.58</v>
      </c>
    </row>
    <row r="172" spans="1:8" x14ac:dyDescent="0.25">
      <c r="A172" t="s">
        <v>178</v>
      </c>
      <c r="B172" t="s">
        <v>499</v>
      </c>
      <c r="C172" t="s">
        <v>634</v>
      </c>
      <c r="D172" t="s">
        <v>638</v>
      </c>
      <c r="E172" t="s">
        <v>642</v>
      </c>
      <c r="F172">
        <v>2</v>
      </c>
      <c r="G172">
        <v>687.38</v>
      </c>
      <c r="H172">
        <v>188.71</v>
      </c>
    </row>
    <row r="173" spans="1:8" x14ac:dyDescent="0.25">
      <c r="A173" t="s">
        <v>179</v>
      </c>
      <c r="B173" t="s">
        <v>443</v>
      </c>
      <c r="C173" t="s">
        <v>633</v>
      </c>
      <c r="D173" t="s">
        <v>637</v>
      </c>
      <c r="E173" t="s">
        <v>650</v>
      </c>
      <c r="F173">
        <v>7</v>
      </c>
      <c r="G173">
        <v>4776.59</v>
      </c>
      <c r="H173">
        <v>697.42</v>
      </c>
    </row>
    <row r="174" spans="1:8" x14ac:dyDescent="0.25">
      <c r="A174" t="s">
        <v>180</v>
      </c>
      <c r="B174" t="s">
        <v>507</v>
      </c>
      <c r="C174" t="s">
        <v>634</v>
      </c>
      <c r="D174" t="s">
        <v>638</v>
      </c>
      <c r="E174" t="s">
        <v>643</v>
      </c>
      <c r="F174">
        <v>5</v>
      </c>
      <c r="G174">
        <v>6380.15</v>
      </c>
      <c r="H174">
        <v>1701.33</v>
      </c>
    </row>
    <row r="175" spans="1:8" x14ac:dyDescent="0.25">
      <c r="A175" t="s">
        <v>181</v>
      </c>
      <c r="B175" t="s">
        <v>508</v>
      </c>
      <c r="C175" t="s">
        <v>635</v>
      </c>
      <c r="D175" t="s">
        <v>637</v>
      </c>
      <c r="E175" t="s">
        <v>640</v>
      </c>
      <c r="F175">
        <v>1</v>
      </c>
      <c r="G175">
        <v>932.23</v>
      </c>
      <c r="H175">
        <v>148.68</v>
      </c>
    </row>
    <row r="176" spans="1:8" x14ac:dyDescent="0.25">
      <c r="A176" t="s">
        <v>182</v>
      </c>
      <c r="B176" t="s">
        <v>509</v>
      </c>
      <c r="C176" t="s">
        <v>634</v>
      </c>
      <c r="D176" t="s">
        <v>636</v>
      </c>
      <c r="E176" t="s">
        <v>648</v>
      </c>
      <c r="F176">
        <v>3</v>
      </c>
      <c r="G176">
        <v>2508.66</v>
      </c>
      <c r="H176">
        <v>477.59</v>
      </c>
    </row>
    <row r="177" spans="1:8" x14ac:dyDescent="0.25">
      <c r="A177" t="s">
        <v>183</v>
      </c>
      <c r="B177" t="s">
        <v>510</v>
      </c>
      <c r="C177" t="s">
        <v>633</v>
      </c>
      <c r="D177" t="s">
        <v>637</v>
      </c>
      <c r="E177" t="s">
        <v>640</v>
      </c>
      <c r="F177">
        <v>5</v>
      </c>
      <c r="G177">
        <v>2000.55</v>
      </c>
      <c r="H177">
        <v>591.6</v>
      </c>
    </row>
    <row r="178" spans="1:8" x14ac:dyDescent="0.25">
      <c r="A178" t="s">
        <v>184</v>
      </c>
      <c r="B178" t="s">
        <v>511</v>
      </c>
      <c r="C178" t="s">
        <v>632</v>
      </c>
      <c r="D178" t="s">
        <v>638</v>
      </c>
      <c r="E178" t="s">
        <v>642</v>
      </c>
      <c r="F178">
        <v>8</v>
      </c>
      <c r="G178">
        <v>2036.56</v>
      </c>
      <c r="H178">
        <v>607.17999999999995</v>
      </c>
    </row>
    <row r="179" spans="1:8" x14ac:dyDescent="0.25">
      <c r="A179" t="s">
        <v>185</v>
      </c>
      <c r="B179" t="s">
        <v>512</v>
      </c>
      <c r="C179" t="s">
        <v>633</v>
      </c>
      <c r="D179" t="s">
        <v>638</v>
      </c>
      <c r="E179" t="s">
        <v>642</v>
      </c>
      <c r="F179">
        <v>8</v>
      </c>
      <c r="G179">
        <v>5073.04</v>
      </c>
      <c r="H179">
        <v>753.28</v>
      </c>
    </row>
    <row r="180" spans="1:8" x14ac:dyDescent="0.25">
      <c r="A180" t="s">
        <v>186</v>
      </c>
      <c r="B180" t="s">
        <v>427</v>
      </c>
      <c r="C180" t="s">
        <v>632</v>
      </c>
      <c r="D180" t="s">
        <v>638</v>
      </c>
      <c r="E180" t="s">
        <v>644</v>
      </c>
      <c r="F180">
        <v>8</v>
      </c>
      <c r="G180">
        <v>11181.36</v>
      </c>
      <c r="H180">
        <v>1084.51</v>
      </c>
    </row>
    <row r="181" spans="1:8" x14ac:dyDescent="0.25">
      <c r="A181" t="s">
        <v>187</v>
      </c>
      <c r="B181" t="s">
        <v>513</v>
      </c>
      <c r="C181" t="s">
        <v>632</v>
      </c>
      <c r="D181" t="s">
        <v>637</v>
      </c>
      <c r="E181" t="s">
        <v>640</v>
      </c>
      <c r="F181">
        <v>8</v>
      </c>
      <c r="G181">
        <v>8758.56</v>
      </c>
      <c r="H181">
        <v>2477.8000000000002</v>
      </c>
    </row>
    <row r="182" spans="1:8" x14ac:dyDescent="0.25">
      <c r="A182" t="s">
        <v>188</v>
      </c>
      <c r="B182" t="s">
        <v>514</v>
      </c>
      <c r="C182" t="s">
        <v>633</v>
      </c>
      <c r="D182" t="s">
        <v>636</v>
      </c>
      <c r="E182" t="s">
        <v>641</v>
      </c>
      <c r="F182">
        <v>4</v>
      </c>
      <c r="G182">
        <v>3252.44</v>
      </c>
      <c r="H182">
        <v>467.43</v>
      </c>
    </row>
    <row r="183" spans="1:8" x14ac:dyDescent="0.25">
      <c r="A183" t="s">
        <v>189</v>
      </c>
      <c r="B183" t="s">
        <v>515</v>
      </c>
      <c r="C183" t="s">
        <v>633</v>
      </c>
      <c r="D183" t="s">
        <v>637</v>
      </c>
      <c r="E183" t="s">
        <v>645</v>
      </c>
      <c r="F183">
        <v>5</v>
      </c>
      <c r="G183">
        <v>6251.65</v>
      </c>
      <c r="H183">
        <v>1416.13</v>
      </c>
    </row>
    <row r="184" spans="1:8" x14ac:dyDescent="0.25">
      <c r="A184" t="s">
        <v>190</v>
      </c>
      <c r="B184" t="s">
        <v>516</v>
      </c>
      <c r="C184" t="s">
        <v>633</v>
      </c>
      <c r="D184" t="s">
        <v>637</v>
      </c>
      <c r="E184" t="s">
        <v>650</v>
      </c>
      <c r="F184">
        <v>4</v>
      </c>
      <c r="G184">
        <v>2167.8000000000002</v>
      </c>
      <c r="H184">
        <v>226.82</v>
      </c>
    </row>
    <row r="185" spans="1:8" x14ac:dyDescent="0.25">
      <c r="A185" t="s">
        <v>191</v>
      </c>
      <c r="B185" t="s">
        <v>517</v>
      </c>
      <c r="C185" t="s">
        <v>634</v>
      </c>
      <c r="D185" t="s">
        <v>638</v>
      </c>
      <c r="E185" t="s">
        <v>643</v>
      </c>
      <c r="F185">
        <v>8</v>
      </c>
      <c r="G185">
        <v>8138.32</v>
      </c>
      <c r="H185">
        <v>742.36</v>
      </c>
    </row>
    <row r="186" spans="1:8" x14ac:dyDescent="0.25">
      <c r="A186" t="s">
        <v>192</v>
      </c>
      <c r="B186" t="s">
        <v>518</v>
      </c>
      <c r="C186" t="s">
        <v>634</v>
      </c>
      <c r="D186" t="s">
        <v>636</v>
      </c>
      <c r="E186" t="s">
        <v>647</v>
      </c>
      <c r="F186">
        <v>2</v>
      </c>
      <c r="G186">
        <v>2768.48</v>
      </c>
      <c r="H186">
        <v>711.47</v>
      </c>
    </row>
    <row r="187" spans="1:8" x14ac:dyDescent="0.25">
      <c r="A187" t="s">
        <v>193</v>
      </c>
      <c r="B187" t="s">
        <v>519</v>
      </c>
      <c r="C187" t="s">
        <v>633</v>
      </c>
      <c r="D187" t="s">
        <v>636</v>
      </c>
      <c r="E187" t="s">
        <v>639</v>
      </c>
      <c r="F187">
        <v>1</v>
      </c>
      <c r="G187">
        <v>367.52</v>
      </c>
      <c r="H187">
        <v>94.17</v>
      </c>
    </row>
    <row r="188" spans="1:8" x14ac:dyDescent="0.25">
      <c r="A188" t="s">
        <v>194</v>
      </c>
      <c r="B188" t="s">
        <v>520</v>
      </c>
      <c r="C188" t="s">
        <v>632</v>
      </c>
      <c r="D188" t="s">
        <v>637</v>
      </c>
      <c r="E188" t="s">
        <v>650</v>
      </c>
      <c r="F188">
        <v>8</v>
      </c>
      <c r="G188">
        <v>9436.08</v>
      </c>
      <c r="H188">
        <v>810.69</v>
      </c>
    </row>
    <row r="189" spans="1:8" x14ac:dyDescent="0.25">
      <c r="A189" t="s">
        <v>195</v>
      </c>
      <c r="B189" t="s">
        <v>521</v>
      </c>
      <c r="C189" t="s">
        <v>633</v>
      </c>
      <c r="D189" t="s">
        <v>637</v>
      </c>
      <c r="E189" t="s">
        <v>640</v>
      </c>
      <c r="F189">
        <v>7</v>
      </c>
      <c r="G189">
        <v>6193.39</v>
      </c>
      <c r="H189">
        <v>487.86</v>
      </c>
    </row>
    <row r="190" spans="1:8" x14ac:dyDescent="0.25">
      <c r="A190" t="s">
        <v>196</v>
      </c>
      <c r="B190" t="s">
        <v>522</v>
      </c>
      <c r="C190" t="s">
        <v>635</v>
      </c>
      <c r="D190" t="s">
        <v>637</v>
      </c>
      <c r="E190" t="s">
        <v>650</v>
      </c>
      <c r="F190">
        <v>1</v>
      </c>
      <c r="G190">
        <v>941.31</v>
      </c>
      <c r="H190">
        <v>76.38</v>
      </c>
    </row>
    <row r="191" spans="1:8" x14ac:dyDescent="0.25">
      <c r="A191" t="s">
        <v>197</v>
      </c>
      <c r="B191" t="s">
        <v>501</v>
      </c>
      <c r="C191" t="s">
        <v>634</v>
      </c>
      <c r="D191" t="s">
        <v>637</v>
      </c>
      <c r="E191" t="s">
        <v>640</v>
      </c>
      <c r="F191">
        <v>7</v>
      </c>
      <c r="G191">
        <v>7239.61</v>
      </c>
      <c r="H191">
        <v>444.29</v>
      </c>
    </row>
    <row r="192" spans="1:8" x14ac:dyDescent="0.25">
      <c r="A192" t="s">
        <v>198</v>
      </c>
      <c r="B192" t="s">
        <v>523</v>
      </c>
      <c r="C192" t="s">
        <v>634</v>
      </c>
      <c r="D192" t="s">
        <v>636</v>
      </c>
      <c r="E192" t="s">
        <v>648</v>
      </c>
      <c r="F192">
        <v>5</v>
      </c>
      <c r="G192">
        <v>7035.45</v>
      </c>
      <c r="H192">
        <v>541.64</v>
      </c>
    </row>
    <row r="193" spans="1:8" x14ac:dyDescent="0.25">
      <c r="A193" t="s">
        <v>199</v>
      </c>
      <c r="B193" t="s">
        <v>524</v>
      </c>
      <c r="C193" t="s">
        <v>632</v>
      </c>
      <c r="D193" t="s">
        <v>638</v>
      </c>
      <c r="E193" t="s">
        <v>642</v>
      </c>
      <c r="F193">
        <v>1</v>
      </c>
      <c r="G193">
        <v>830.28</v>
      </c>
      <c r="H193">
        <v>85.03</v>
      </c>
    </row>
    <row r="194" spans="1:8" x14ac:dyDescent="0.25">
      <c r="A194" t="s">
        <v>200</v>
      </c>
      <c r="B194" t="s">
        <v>525</v>
      </c>
      <c r="C194" t="s">
        <v>632</v>
      </c>
      <c r="D194" t="s">
        <v>637</v>
      </c>
      <c r="E194" t="s">
        <v>650</v>
      </c>
      <c r="F194">
        <v>7</v>
      </c>
      <c r="G194">
        <v>6974.45</v>
      </c>
      <c r="H194">
        <v>1719.63</v>
      </c>
    </row>
    <row r="195" spans="1:8" x14ac:dyDescent="0.25">
      <c r="A195" t="s">
        <v>201</v>
      </c>
      <c r="B195" t="s">
        <v>526</v>
      </c>
      <c r="C195" t="s">
        <v>632</v>
      </c>
      <c r="D195" t="s">
        <v>636</v>
      </c>
      <c r="E195" t="s">
        <v>641</v>
      </c>
      <c r="F195">
        <v>5</v>
      </c>
      <c r="G195">
        <v>4000.65</v>
      </c>
      <c r="H195">
        <v>1112.42</v>
      </c>
    </row>
    <row r="196" spans="1:8" x14ac:dyDescent="0.25">
      <c r="A196" t="s">
        <v>202</v>
      </c>
      <c r="B196" t="s">
        <v>451</v>
      </c>
      <c r="C196" t="s">
        <v>635</v>
      </c>
      <c r="D196" t="s">
        <v>638</v>
      </c>
      <c r="E196" t="s">
        <v>646</v>
      </c>
      <c r="F196">
        <v>9</v>
      </c>
      <c r="G196">
        <v>10781.46</v>
      </c>
      <c r="H196">
        <v>2544.66</v>
      </c>
    </row>
    <row r="197" spans="1:8" x14ac:dyDescent="0.25">
      <c r="A197" t="s">
        <v>203</v>
      </c>
      <c r="B197" t="s">
        <v>497</v>
      </c>
      <c r="C197" t="s">
        <v>632</v>
      </c>
      <c r="D197" t="s">
        <v>636</v>
      </c>
      <c r="E197" t="s">
        <v>639</v>
      </c>
      <c r="F197">
        <v>2</v>
      </c>
      <c r="G197">
        <v>31.36</v>
      </c>
      <c r="H197">
        <v>8.09</v>
      </c>
    </row>
    <row r="198" spans="1:8" x14ac:dyDescent="0.25">
      <c r="A198" t="s">
        <v>204</v>
      </c>
      <c r="B198" t="s">
        <v>527</v>
      </c>
      <c r="C198" t="s">
        <v>632</v>
      </c>
      <c r="D198" t="s">
        <v>636</v>
      </c>
      <c r="E198" t="s">
        <v>641</v>
      </c>
      <c r="F198">
        <v>4</v>
      </c>
      <c r="G198">
        <v>1084.76</v>
      </c>
      <c r="H198">
        <v>276.97000000000003</v>
      </c>
    </row>
    <row r="199" spans="1:8" x14ac:dyDescent="0.25">
      <c r="A199" t="s">
        <v>205</v>
      </c>
      <c r="B199" t="s">
        <v>528</v>
      </c>
      <c r="C199" t="s">
        <v>632</v>
      </c>
      <c r="D199" t="s">
        <v>638</v>
      </c>
      <c r="E199" t="s">
        <v>646</v>
      </c>
      <c r="F199">
        <v>9</v>
      </c>
      <c r="G199">
        <v>239.4</v>
      </c>
      <c r="H199">
        <v>58.68</v>
      </c>
    </row>
    <row r="200" spans="1:8" x14ac:dyDescent="0.25">
      <c r="A200" t="s">
        <v>206</v>
      </c>
      <c r="B200" t="s">
        <v>529</v>
      </c>
      <c r="C200" t="s">
        <v>634</v>
      </c>
      <c r="D200" t="s">
        <v>637</v>
      </c>
      <c r="E200" t="s">
        <v>649</v>
      </c>
      <c r="F200">
        <v>5</v>
      </c>
      <c r="G200">
        <v>1059.5999999999999</v>
      </c>
      <c r="H200">
        <v>160.66999999999999</v>
      </c>
    </row>
    <row r="201" spans="1:8" x14ac:dyDescent="0.25">
      <c r="A201" t="s">
        <v>207</v>
      </c>
      <c r="B201" t="s">
        <v>530</v>
      </c>
      <c r="C201" t="s">
        <v>632</v>
      </c>
      <c r="D201" t="s">
        <v>636</v>
      </c>
      <c r="E201" t="s">
        <v>641</v>
      </c>
      <c r="F201">
        <v>7</v>
      </c>
      <c r="G201">
        <v>3272.08</v>
      </c>
      <c r="H201">
        <v>825.02</v>
      </c>
    </row>
    <row r="202" spans="1:8" x14ac:dyDescent="0.25">
      <c r="A202" t="s">
        <v>208</v>
      </c>
      <c r="B202" t="s">
        <v>498</v>
      </c>
      <c r="C202" t="s">
        <v>632</v>
      </c>
      <c r="D202" t="s">
        <v>638</v>
      </c>
      <c r="E202" t="s">
        <v>642</v>
      </c>
      <c r="F202">
        <v>6</v>
      </c>
      <c r="G202">
        <v>780.3</v>
      </c>
      <c r="H202">
        <v>46.61</v>
      </c>
    </row>
    <row r="203" spans="1:8" x14ac:dyDescent="0.25">
      <c r="A203" t="s">
        <v>209</v>
      </c>
      <c r="B203" t="s">
        <v>531</v>
      </c>
      <c r="C203" t="s">
        <v>632</v>
      </c>
      <c r="D203" t="s">
        <v>637</v>
      </c>
      <c r="E203" t="s">
        <v>645</v>
      </c>
      <c r="F203">
        <v>5</v>
      </c>
      <c r="G203">
        <v>651.95000000000005</v>
      </c>
      <c r="H203">
        <v>34.54</v>
      </c>
    </row>
    <row r="204" spans="1:8" x14ac:dyDescent="0.25">
      <c r="A204" t="s">
        <v>210</v>
      </c>
      <c r="B204" t="s">
        <v>532</v>
      </c>
      <c r="C204" t="s">
        <v>633</v>
      </c>
      <c r="D204" t="s">
        <v>636</v>
      </c>
      <c r="E204" t="s">
        <v>641</v>
      </c>
      <c r="F204">
        <v>5</v>
      </c>
      <c r="G204">
        <v>1638.6</v>
      </c>
      <c r="H204">
        <v>339.1</v>
      </c>
    </row>
    <row r="205" spans="1:8" x14ac:dyDescent="0.25">
      <c r="A205" t="s">
        <v>211</v>
      </c>
      <c r="B205" t="s">
        <v>491</v>
      </c>
      <c r="C205" t="s">
        <v>632</v>
      </c>
      <c r="D205" t="s">
        <v>637</v>
      </c>
      <c r="E205" t="s">
        <v>650</v>
      </c>
      <c r="F205">
        <v>9</v>
      </c>
      <c r="G205">
        <v>2058.21</v>
      </c>
      <c r="H205">
        <v>542.34</v>
      </c>
    </row>
    <row r="206" spans="1:8" x14ac:dyDescent="0.25">
      <c r="A206" t="s">
        <v>212</v>
      </c>
      <c r="B206" t="s">
        <v>533</v>
      </c>
      <c r="C206" t="s">
        <v>633</v>
      </c>
      <c r="D206" t="s">
        <v>638</v>
      </c>
      <c r="E206" t="s">
        <v>642</v>
      </c>
      <c r="F206">
        <v>3</v>
      </c>
      <c r="G206">
        <v>3283.68</v>
      </c>
      <c r="H206">
        <v>255.82</v>
      </c>
    </row>
    <row r="207" spans="1:8" x14ac:dyDescent="0.25">
      <c r="A207" t="s">
        <v>213</v>
      </c>
      <c r="B207" t="s">
        <v>534</v>
      </c>
      <c r="C207" t="s">
        <v>632</v>
      </c>
      <c r="D207" t="s">
        <v>636</v>
      </c>
      <c r="E207" t="s">
        <v>639</v>
      </c>
      <c r="F207">
        <v>2</v>
      </c>
      <c r="G207">
        <v>1373.7</v>
      </c>
      <c r="H207">
        <v>202.17</v>
      </c>
    </row>
    <row r="208" spans="1:8" x14ac:dyDescent="0.25">
      <c r="A208" t="s">
        <v>214</v>
      </c>
      <c r="B208" t="s">
        <v>535</v>
      </c>
      <c r="C208" t="s">
        <v>633</v>
      </c>
      <c r="D208" t="s">
        <v>636</v>
      </c>
      <c r="E208" t="s">
        <v>639</v>
      </c>
      <c r="F208">
        <v>5</v>
      </c>
      <c r="G208">
        <v>4616.1000000000004</v>
      </c>
      <c r="H208">
        <v>592.27</v>
      </c>
    </row>
    <row r="209" spans="1:8" x14ac:dyDescent="0.25">
      <c r="A209" t="s">
        <v>215</v>
      </c>
      <c r="B209" t="s">
        <v>536</v>
      </c>
      <c r="C209" t="s">
        <v>635</v>
      </c>
      <c r="D209" t="s">
        <v>636</v>
      </c>
      <c r="E209" t="s">
        <v>641</v>
      </c>
      <c r="F209">
        <v>6</v>
      </c>
      <c r="G209">
        <v>5523.6</v>
      </c>
      <c r="H209">
        <v>1549.39</v>
      </c>
    </row>
    <row r="210" spans="1:8" x14ac:dyDescent="0.25">
      <c r="A210" t="s">
        <v>216</v>
      </c>
      <c r="B210" t="s">
        <v>537</v>
      </c>
      <c r="C210" t="s">
        <v>635</v>
      </c>
      <c r="D210" t="s">
        <v>638</v>
      </c>
      <c r="E210" t="s">
        <v>644</v>
      </c>
      <c r="F210">
        <v>7</v>
      </c>
      <c r="G210">
        <v>4148.76</v>
      </c>
      <c r="H210">
        <v>220.03</v>
      </c>
    </row>
    <row r="211" spans="1:8" x14ac:dyDescent="0.25">
      <c r="A211" t="s">
        <v>217</v>
      </c>
      <c r="B211" t="s">
        <v>538</v>
      </c>
      <c r="C211" t="s">
        <v>632</v>
      </c>
      <c r="D211" t="s">
        <v>638</v>
      </c>
      <c r="E211" t="s">
        <v>644</v>
      </c>
      <c r="F211">
        <v>7</v>
      </c>
      <c r="G211">
        <v>3723.58</v>
      </c>
      <c r="H211">
        <v>999.59</v>
      </c>
    </row>
    <row r="212" spans="1:8" x14ac:dyDescent="0.25">
      <c r="A212" t="s">
        <v>218</v>
      </c>
      <c r="B212" t="s">
        <v>532</v>
      </c>
      <c r="C212" t="s">
        <v>633</v>
      </c>
      <c r="D212" t="s">
        <v>636</v>
      </c>
      <c r="E212" t="s">
        <v>641</v>
      </c>
      <c r="F212">
        <v>9</v>
      </c>
      <c r="G212">
        <v>7297.29</v>
      </c>
      <c r="H212">
        <v>2138</v>
      </c>
    </row>
    <row r="213" spans="1:8" x14ac:dyDescent="0.25">
      <c r="A213" t="s">
        <v>219</v>
      </c>
      <c r="B213" t="s">
        <v>539</v>
      </c>
      <c r="C213" t="s">
        <v>635</v>
      </c>
      <c r="D213" t="s">
        <v>638</v>
      </c>
      <c r="E213" t="s">
        <v>644</v>
      </c>
      <c r="F213">
        <v>9</v>
      </c>
      <c r="G213">
        <v>10086.48</v>
      </c>
      <c r="H213">
        <v>2456.9899999999998</v>
      </c>
    </row>
    <row r="214" spans="1:8" x14ac:dyDescent="0.25">
      <c r="A214" t="s">
        <v>220</v>
      </c>
      <c r="B214" t="s">
        <v>540</v>
      </c>
      <c r="C214" t="s">
        <v>635</v>
      </c>
      <c r="D214" t="s">
        <v>636</v>
      </c>
      <c r="E214" t="s">
        <v>647</v>
      </c>
      <c r="F214">
        <v>7</v>
      </c>
      <c r="G214">
        <v>5320.77</v>
      </c>
      <c r="H214">
        <v>741.76</v>
      </c>
    </row>
    <row r="215" spans="1:8" x14ac:dyDescent="0.25">
      <c r="A215" t="s">
        <v>221</v>
      </c>
      <c r="B215" t="s">
        <v>541</v>
      </c>
      <c r="C215" t="s">
        <v>633</v>
      </c>
      <c r="D215" t="s">
        <v>637</v>
      </c>
      <c r="E215" t="s">
        <v>645</v>
      </c>
      <c r="F215">
        <v>5</v>
      </c>
      <c r="G215">
        <v>6579.7</v>
      </c>
      <c r="H215">
        <v>365.61</v>
      </c>
    </row>
    <row r="216" spans="1:8" x14ac:dyDescent="0.25">
      <c r="A216" t="s">
        <v>222</v>
      </c>
      <c r="B216" t="s">
        <v>407</v>
      </c>
      <c r="C216" t="s">
        <v>634</v>
      </c>
      <c r="D216" t="s">
        <v>638</v>
      </c>
      <c r="E216" t="s">
        <v>642</v>
      </c>
      <c r="F216">
        <v>2</v>
      </c>
      <c r="G216">
        <v>158.58000000000001</v>
      </c>
      <c r="H216">
        <v>17.059999999999999</v>
      </c>
    </row>
    <row r="217" spans="1:8" x14ac:dyDescent="0.25">
      <c r="A217" t="s">
        <v>223</v>
      </c>
      <c r="B217" t="s">
        <v>542</v>
      </c>
      <c r="C217" t="s">
        <v>635</v>
      </c>
      <c r="D217" t="s">
        <v>638</v>
      </c>
      <c r="E217" t="s">
        <v>643</v>
      </c>
      <c r="F217">
        <v>4</v>
      </c>
      <c r="G217">
        <v>4582.6400000000003</v>
      </c>
      <c r="H217">
        <v>740.58</v>
      </c>
    </row>
    <row r="218" spans="1:8" x14ac:dyDescent="0.25">
      <c r="A218" t="s">
        <v>224</v>
      </c>
      <c r="B218" t="s">
        <v>543</v>
      </c>
      <c r="C218" t="s">
        <v>632</v>
      </c>
      <c r="D218" t="s">
        <v>638</v>
      </c>
      <c r="E218" t="s">
        <v>644</v>
      </c>
      <c r="F218">
        <v>9</v>
      </c>
      <c r="G218">
        <v>3346.65</v>
      </c>
      <c r="H218">
        <v>694.15</v>
      </c>
    </row>
    <row r="219" spans="1:8" x14ac:dyDescent="0.25">
      <c r="A219" t="s">
        <v>225</v>
      </c>
      <c r="B219" t="s">
        <v>544</v>
      </c>
      <c r="C219" t="s">
        <v>633</v>
      </c>
      <c r="D219" t="s">
        <v>637</v>
      </c>
      <c r="E219" t="s">
        <v>650</v>
      </c>
      <c r="F219">
        <v>4</v>
      </c>
      <c r="G219">
        <v>2387.1999999999998</v>
      </c>
      <c r="H219">
        <v>488.18</v>
      </c>
    </row>
    <row r="220" spans="1:8" x14ac:dyDescent="0.25">
      <c r="A220" t="s">
        <v>226</v>
      </c>
      <c r="B220" t="s">
        <v>545</v>
      </c>
      <c r="C220" t="s">
        <v>632</v>
      </c>
      <c r="D220" t="s">
        <v>636</v>
      </c>
      <c r="E220" t="s">
        <v>647</v>
      </c>
      <c r="F220">
        <v>1</v>
      </c>
      <c r="G220">
        <v>1394.93</v>
      </c>
      <c r="H220">
        <v>406.64</v>
      </c>
    </row>
    <row r="221" spans="1:8" x14ac:dyDescent="0.25">
      <c r="A221" t="s">
        <v>227</v>
      </c>
      <c r="B221" t="s">
        <v>546</v>
      </c>
      <c r="C221" t="s">
        <v>635</v>
      </c>
      <c r="D221" t="s">
        <v>636</v>
      </c>
      <c r="E221" t="s">
        <v>648</v>
      </c>
      <c r="F221">
        <v>6</v>
      </c>
      <c r="G221">
        <v>7284.66</v>
      </c>
      <c r="H221">
        <v>1915.99</v>
      </c>
    </row>
    <row r="222" spans="1:8" x14ac:dyDescent="0.25">
      <c r="A222" t="s">
        <v>228</v>
      </c>
      <c r="B222" t="s">
        <v>547</v>
      </c>
      <c r="C222" t="s">
        <v>632</v>
      </c>
      <c r="D222" t="s">
        <v>638</v>
      </c>
      <c r="E222" t="s">
        <v>644</v>
      </c>
      <c r="F222">
        <v>2</v>
      </c>
      <c r="G222">
        <v>33.200000000000003</v>
      </c>
      <c r="H222">
        <v>9.66</v>
      </c>
    </row>
    <row r="223" spans="1:8" x14ac:dyDescent="0.25">
      <c r="A223" t="s">
        <v>229</v>
      </c>
      <c r="B223" t="s">
        <v>548</v>
      </c>
      <c r="C223" t="s">
        <v>633</v>
      </c>
      <c r="D223" t="s">
        <v>636</v>
      </c>
      <c r="E223" t="s">
        <v>639</v>
      </c>
      <c r="F223">
        <v>5</v>
      </c>
      <c r="G223">
        <v>6982.25</v>
      </c>
      <c r="H223">
        <v>1340.84</v>
      </c>
    </row>
    <row r="224" spans="1:8" x14ac:dyDescent="0.25">
      <c r="A224" t="s">
        <v>230</v>
      </c>
      <c r="B224" t="s">
        <v>549</v>
      </c>
      <c r="C224" t="s">
        <v>634</v>
      </c>
      <c r="D224" t="s">
        <v>636</v>
      </c>
      <c r="E224" t="s">
        <v>641</v>
      </c>
      <c r="F224">
        <v>9</v>
      </c>
      <c r="G224">
        <v>10591.11</v>
      </c>
      <c r="H224">
        <v>548.82000000000005</v>
      </c>
    </row>
    <row r="225" spans="1:8" x14ac:dyDescent="0.25">
      <c r="A225" t="s">
        <v>231</v>
      </c>
      <c r="B225" t="s">
        <v>550</v>
      </c>
      <c r="C225" t="s">
        <v>632</v>
      </c>
      <c r="D225" t="s">
        <v>637</v>
      </c>
      <c r="E225" t="s">
        <v>650</v>
      </c>
      <c r="F225">
        <v>1</v>
      </c>
      <c r="G225">
        <v>122.79</v>
      </c>
      <c r="H225">
        <v>24.72</v>
      </c>
    </row>
    <row r="226" spans="1:8" x14ac:dyDescent="0.25">
      <c r="A226" t="s">
        <v>232</v>
      </c>
      <c r="B226" t="s">
        <v>551</v>
      </c>
      <c r="C226" t="s">
        <v>633</v>
      </c>
      <c r="D226" t="s">
        <v>636</v>
      </c>
      <c r="E226" t="s">
        <v>641</v>
      </c>
      <c r="F226">
        <v>5</v>
      </c>
      <c r="G226">
        <v>477.4</v>
      </c>
      <c r="H226">
        <v>105.59</v>
      </c>
    </row>
    <row r="227" spans="1:8" x14ac:dyDescent="0.25">
      <c r="A227" t="s">
        <v>233</v>
      </c>
      <c r="B227" t="s">
        <v>552</v>
      </c>
      <c r="C227" t="s">
        <v>633</v>
      </c>
      <c r="D227" t="s">
        <v>638</v>
      </c>
      <c r="E227" t="s">
        <v>646</v>
      </c>
      <c r="F227">
        <v>1</v>
      </c>
      <c r="G227">
        <v>945.32</v>
      </c>
      <c r="H227">
        <v>116.61</v>
      </c>
    </row>
    <row r="228" spans="1:8" x14ac:dyDescent="0.25">
      <c r="A228" t="s">
        <v>234</v>
      </c>
      <c r="B228" t="s">
        <v>553</v>
      </c>
      <c r="C228" t="s">
        <v>632</v>
      </c>
      <c r="D228" t="s">
        <v>636</v>
      </c>
      <c r="E228" t="s">
        <v>648</v>
      </c>
      <c r="F228">
        <v>5</v>
      </c>
      <c r="G228">
        <v>5342.4</v>
      </c>
      <c r="H228">
        <v>1545.33</v>
      </c>
    </row>
    <row r="229" spans="1:8" x14ac:dyDescent="0.25">
      <c r="A229" t="s">
        <v>235</v>
      </c>
      <c r="B229" t="s">
        <v>554</v>
      </c>
      <c r="C229" t="s">
        <v>632</v>
      </c>
      <c r="D229" t="s">
        <v>636</v>
      </c>
      <c r="E229" t="s">
        <v>648</v>
      </c>
      <c r="F229">
        <v>5</v>
      </c>
      <c r="G229">
        <v>5704.35</v>
      </c>
      <c r="H229">
        <v>1491.85</v>
      </c>
    </row>
    <row r="230" spans="1:8" x14ac:dyDescent="0.25">
      <c r="A230" t="s">
        <v>236</v>
      </c>
      <c r="B230" t="s">
        <v>555</v>
      </c>
      <c r="C230" t="s">
        <v>633</v>
      </c>
      <c r="D230" t="s">
        <v>636</v>
      </c>
      <c r="E230" t="s">
        <v>641</v>
      </c>
      <c r="F230">
        <v>7</v>
      </c>
      <c r="G230">
        <v>4519.62</v>
      </c>
      <c r="H230">
        <v>637.99</v>
      </c>
    </row>
    <row r="231" spans="1:8" x14ac:dyDescent="0.25">
      <c r="A231" t="s">
        <v>237</v>
      </c>
      <c r="B231" t="s">
        <v>556</v>
      </c>
      <c r="C231" t="s">
        <v>634</v>
      </c>
      <c r="D231" t="s">
        <v>638</v>
      </c>
      <c r="E231" t="s">
        <v>646</v>
      </c>
      <c r="F231">
        <v>6</v>
      </c>
      <c r="G231">
        <v>7736.64</v>
      </c>
      <c r="H231">
        <v>1845.08</v>
      </c>
    </row>
    <row r="232" spans="1:8" x14ac:dyDescent="0.25">
      <c r="A232" t="s">
        <v>238</v>
      </c>
      <c r="B232" t="s">
        <v>433</v>
      </c>
      <c r="C232" t="s">
        <v>632</v>
      </c>
      <c r="D232" t="s">
        <v>636</v>
      </c>
      <c r="E232" t="s">
        <v>648</v>
      </c>
      <c r="F232">
        <v>6</v>
      </c>
      <c r="G232">
        <v>8639.52</v>
      </c>
      <c r="H232">
        <v>1888.69</v>
      </c>
    </row>
    <row r="233" spans="1:8" x14ac:dyDescent="0.25">
      <c r="A233" t="s">
        <v>239</v>
      </c>
      <c r="B233" t="s">
        <v>557</v>
      </c>
      <c r="C233" t="s">
        <v>635</v>
      </c>
      <c r="D233" t="s">
        <v>638</v>
      </c>
      <c r="E233" t="s">
        <v>646</v>
      </c>
      <c r="F233">
        <v>3</v>
      </c>
      <c r="G233">
        <v>3323.07</v>
      </c>
      <c r="H233">
        <v>463.36</v>
      </c>
    </row>
    <row r="234" spans="1:8" x14ac:dyDescent="0.25">
      <c r="A234" t="s">
        <v>240</v>
      </c>
      <c r="B234" t="s">
        <v>558</v>
      </c>
      <c r="C234" t="s">
        <v>635</v>
      </c>
      <c r="D234" t="s">
        <v>638</v>
      </c>
      <c r="E234" t="s">
        <v>646</v>
      </c>
      <c r="F234">
        <v>2</v>
      </c>
      <c r="G234">
        <v>2129.3200000000002</v>
      </c>
      <c r="H234">
        <v>416.36</v>
      </c>
    </row>
    <row r="235" spans="1:8" x14ac:dyDescent="0.25">
      <c r="A235" t="s">
        <v>241</v>
      </c>
      <c r="B235" t="s">
        <v>559</v>
      </c>
      <c r="C235" t="s">
        <v>635</v>
      </c>
      <c r="D235" t="s">
        <v>637</v>
      </c>
      <c r="E235" t="s">
        <v>640</v>
      </c>
      <c r="F235">
        <v>6</v>
      </c>
      <c r="G235">
        <v>4974.42</v>
      </c>
      <c r="H235">
        <v>1426.38</v>
      </c>
    </row>
    <row r="236" spans="1:8" x14ac:dyDescent="0.25">
      <c r="A236" t="s">
        <v>242</v>
      </c>
      <c r="B236" t="s">
        <v>560</v>
      </c>
      <c r="C236" t="s">
        <v>634</v>
      </c>
      <c r="D236" t="s">
        <v>638</v>
      </c>
      <c r="E236" t="s">
        <v>643</v>
      </c>
      <c r="F236">
        <v>8</v>
      </c>
      <c r="G236">
        <v>10285.36</v>
      </c>
      <c r="H236">
        <v>1177.3800000000001</v>
      </c>
    </row>
    <row r="237" spans="1:8" x14ac:dyDescent="0.25">
      <c r="A237" t="s">
        <v>243</v>
      </c>
      <c r="B237" t="s">
        <v>561</v>
      </c>
      <c r="C237" t="s">
        <v>634</v>
      </c>
      <c r="D237" t="s">
        <v>638</v>
      </c>
      <c r="E237" t="s">
        <v>646</v>
      </c>
      <c r="F237">
        <v>5</v>
      </c>
      <c r="G237">
        <v>4386.5</v>
      </c>
      <c r="H237">
        <v>1300.51</v>
      </c>
    </row>
    <row r="238" spans="1:8" x14ac:dyDescent="0.25">
      <c r="A238" t="s">
        <v>244</v>
      </c>
      <c r="B238" t="s">
        <v>454</v>
      </c>
      <c r="C238" t="s">
        <v>634</v>
      </c>
      <c r="D238" t="s">
        <v>636</v>
      </c>
      <c r="E238" t="s">
        <v>641</v>
      </c>
      <c r="F238">
        <v>6</v>
      </c>
      <c r="G238">
        <v>1755.42</v>
      </c>
      <c r="H238">
        <v>325.02999999999997</v>
      </c>
    </row>
    <row r="239" spans="1:8" x14ac:dyDescent="0.25">
      <c r="A239" t="s">
        <v>245</v>
      </c>
      <c r="B239" t="s">
        <v>442</v>
      </c>
      <c r="C239" t="s">
        <v>632</v>
      </c>
      <c r="D239" t="s">
        <v>638</v>
      </c>
      <c r="E239" t="s">
        <v>646</v>
      </c>
      <c r="F239">
        <v>2</v>
      </c>
      <c r="G239">
        <v>1225.3800000000001</v>
      </c>
      <c r="H239">
        <v>177.48</v>
      </c>
    </row>
    <row r="240" spans="1:8" x14ac:dyDescent="0.25">
      <c r="A240" t="s">
        <v>246</v>
      </c>
      <c r="B240" t="s">
        <v>417</v>
      </c>
      <c r="C240" t="s">
        <v>634</v>
      </c>
      <c r="D240" t="s">
        <v>638</v>
      </c>
      <c r="E240" t="s">
        <v>643</v>
      </c>
      <c r="F240">
        <v>3</v>
      </c>
      <c r="G240">
        <v>2724.09</v>
      </c>
      <c r="H240">
        <v>322.57</v>
      </c>
    </row>
    <row r="241" spans="1:8" x14ac:dyDescent="0.25">
      <c r="A241" t="s">
        <v>247</v>
      </c>
      <c r="B241" t="s">
        <v>562</v>
      </c>
      <c r="C241" t="s">
        <v>635</v>
      </c>
      <c r="D241" t="s">
        <v>636</v>
      </c>
      <c r="E241" t="s">
        <v>647</v>
      </c>
      <c r="F241">
        <v>8</v>
      </c>
      <c r="G241">
        <v>8669.2800000000007</v>
      </c>
      <c r="H241">
        <v>890.53</v>
      </c>
    </row>
    <row r="242" spans="1:8" x14ac:dyDescent="0.25">
      <c r="A242" t="s">
        <v>248</v>
      </c>
      <c r="B242" t="s">
        <v>563</v>
      </c>
      <c r="C242" t="s">
        <v>635</v>
      </c>
      <c r="D242" t="s">
        <v>637</v>
      </c>
      <c r="E242" t="s">
        <v>645</v>
      </c>
      <c r="F242">
        <v>2</v>
      </c>
      <c r="G242">
        <v>1000.46</v>
      </c>
      <c r="H242">
        <v>147.24</v>
      </c>
    </row>
    <row r="243" spans="1:8" x14ac:dyDescent="0.25">
      <c r="A243" t="s">
        <v>249</v>
      </c>
      <c r="B243" t="s">
        <v>564</v>
      </c>
      <c r="C243" t="s">
        <v>633</v>
      </c>
      <c r="D243" t="s">
        <v>636</v>
      </c>
      <c r="E243" t="s">
        <v>639</v>
      </c>
      <c r="F243">
        <v>1</v>
      </c>
      <c r="G243">
        <v>1276.3800000000001</v>
      </c>
      <c r="H243">
        <v>342.96</v>
      </c>
    </row>
    <row r="244" spans="1:8" x14ac:dyDescent="0.25">
      <c r="A244" t="s">
        <v>250</v>
      </c>
      <c r="B244" t="s">
        <v>407</v>
      </c>
      <c r="C244" t="s">
        <v>633</v>
      </c>
      <c r="D244" t="s">
        <v>638</v>
      </c>
      <c r="E244" t="s">
        <v>646</v>
      </c>
      <c r="F244">
        <v>3</v>
      </c>
      <c r="G244">
        <v>4250.5200000000004</v>
      </c>
      <c r="H244">
        <v>974.42</v>
      </c>
    </row>
    <row r="245" spans="1:8" x14ac:dyDescent="0.25">
      <c r="A245" t="s">
        <v>251</v>
      </c>
      <c r="B245" t="s">
        <v>565</v>
      </c>
      <c r="C245" t="s">
        <v>632</v>
      </c>
      <c r="D245" t="s">
        <v>636</v>
      </c>
      <c r="E245" t="s">
        <v>639</v>
      </c>
      <c r="F245">
        <v>9</v>
      </c>
      <c r="G245">
        <v>5558.76</v>
      </c>
      <c r="H245">
        <v>829.56</v>
      </c>
    </row>
    <row r="246" spans="1:8" x14ac:dyDescent="0.25">
      <c r="A246" t="s">
        <v>252</v>
      </c>
      <c r="B246" t="s">
        <v>566</v>
      </c>
      <c r="C246" t="s">
        <v>635</v>
      </c>
      <c r="D246" t="s">
        <v>638</v>
      </c>
      <c r="E246" t="s">
        <v>643</v>
      </c>
      <c r="F246">
        <v>7</v>
      </c>
      <c r="G246">
        <v>7253.54</v>
      </c>
      <c r="H246">
        <v>1426.57</v>
      </c>
    </row>
    <row r="247" spans="1:8" x14ac:dyDescent="0.25">
      <c r="A247" t="s">
        <v>253</v>
      </c>
      <c r="B247" t="s">
        <v>567</v>
      </c>
      <c r="C247" t="s">
        <v>634</v>
      </c>
      <c r="D247" t="s">
        <v>637</v>
      </c>
      <c r="E247" t="s">
        <v>649</v>
      </c>
      <c r="F247">
        <v>6</v>
      </c>
      <c r="G247">
        <v>3458.1</v>
      </c>
      <c r="H247">
        <v>415.14</v>
      </c>
    </row>
    <row r="248" spans="1:8" x14ac:dyDescent="0.25">
      <c r="A248" t="s">
        <v>254</v>
      </c>
      <c r="B248" t="s">
        <v>568</v>
      </c>
      <c r="C248" t="s">
        <v>633</v>
      </c>
      <c r="D248" t="s">
        <v>638</v>
      </c>
      <c r="E248" t="s">
        <v>644</v>
      </c>
      <c r="F248">
        <v>6</v>
      </c>
      <c r="G248">
        <v>4775.9399999999996</v>
      </c>
      <c r="H248">
        <v>342.31</v>
      </c>
    </row>
    <row r="249" spans="1:8" x14ac:dyDescent="0.25">
      <c r="A249" t="s">
        <v>255</v>
      </c>
      <c r="B249" t="s">
        <v>569</v>
      </c>
      <c r="C249" t="s">
        <v>635</v>
      </c>
      <c r="D249" t="s">
        <v>638</v>
      </c>
      <c r="E249" t="s">
        <v>646</v>
      </c>
      <c r="F249">
        <v>1</v>
      </c>
      <c r="G249">
        <v>1081.4000000000001</v>
      </c>
      <c r="H249">
        <v>147.91</v>
      </c>
    </row>
    <row r="250" spans="1:8" x14ac:dyDescent="0.25">
      <c r="A250" t="s">
        <v>256</v>
      </c>
      <c r="B250" t="s">
        <v>570</v>
      </c>
      <c r="C250" t="s">
        <v>632</v>
      </c>
      <c r="D250" t="s">
        <v>637</v>
      </c>
      <c r="E250" t="s">
        <v>640</v>
      </c>
      <c r="F250">
        <v>2</v>
      </c>
      <c r="G250">
        <v>2804.46</v>
      </c>
      <c r="H250">
        <v>715.26</v>
      </c>
    </row>
    <row r="251" spans="1:8" x14ac:dyDescent="0.25">
      <c r="A251" t="s">
        <v>257</v>
      </c>
      <c r="B251" t="s">
        <v>571</v>
      </c>
      <c r="C251" t="s">
        <v>635</v>
      </c>
      <c r="D251" t="s">
        <v>637</v>
      </c>
      <c r="E251" t="s">
        <v>649</v>
      </c>
      <c r="F251">
        <v>7</v>
      </c>
      <c r="G251">
        <v>10298.89</v>
      </c>
      <c r="H251">
        <v>676.85</v>
      </c>
    </row>
    <row r="252" spans="1:8" x14ac:dyDescent="0.25">
      <c r="A252" t="s">
        <v>258</v>
      </c>
      <c r="B252" t="s">
        <v>572</v>
      </c>
      <c r="C252" t="s">
        <v>632</v>
      </c>
      <c r="D252" t="s">
        <v>636</v>
      </c>
      <c r="E252" t="s">
        <v>639</v>
      </c>
      <c r="F252">
        <v>2</v>
      </c>
      <c r="G252">
        <v>2947.86</v>
      </c>
      <c r="H252">
        <v>592.24</v>
      </c>
    </row>
    <row r="253" spans="1:8" x14ac:dyDescent="0.25">
      <c r="A253" t="s">
        <v>259</v>
      </c>
      <c r="B253" t="s">
        <v>573</v>
      </c>
      <c r="C253" t="s">
        <v>634</v>
      </c>
      <c r="D253" t="s">
        <v>636</v>
      </c>
      <c r="E253" t="s">
        <v>647</v>
      </c>
      <c r="F253">
        <v>5</v>
      </c>
      <c r="G253">
        <v>2094.4</v>
      </c>
      <c r="H253">
        <v>156.29</v>
      </c>
    </row>
    <row r="254" spans="1:8" x14ac:dyDescent="0.25">
      <c r="A254" t="s">
        <v>260</v>
      </c>
      <c r="B254" t="s">
        <v>517</v>
      </c>
      <c r="C254" t="s">
        <v>635</v>
      </c>
      <c r="D254" t="s">
        <v>637</v>
      </c>
      <c r="E254" t="s">
        <v>640</v>
      </c>
      <c r="F254">
        <v>4</v>
      </c>
      <c r="G254">
        <v>3788.4</v>
      </c>
      <c r="H254">
        <v>342.16</v>
      </c>
    </row>
    <row r="255" spans="1:8" x14ac:dyDescent="0.25">
      <c r="A255" t="s">
        <v>261</v>
      </c>
      <c r="B255" t="s">
        <v>574</v>
      </c>
      <c r="C255" t="s">
        <v>632</v>
      </c>
      <c r="D255" t="s">
        <v>637</v>
      </c>
      <c r="E255" t="s">
        <v>649</v>
      </c>
      <c r="F255">
        <v>2</v>
      </c>
      <c r="G255">
        <v>644.26</v>
      </c>
      <c r="H255">
        <v>129.1</v>
      </c>
    </row>
    <row r="256" spans="1:8" x14ac:dyDescent="0.25">
      <c r="A256" t="s">
        <v>262</v>
      </c>
      <c r="B256" t="s">
        <v>362</v>
      </c>
      <c r="C256" t="s">
        <v>635</v>
      </c>
      <c r="D256" t="s">
        <v>636</v>
      </c>
      <c r="E256" t="s">
        <v>648</v>
      </c>
      <c r="F256">
        <v>2</v>
      </c>
      <c r="G256">
        <v>2477.16</v>
      </c>
      <c r="H256">
        <v>174.3</v>
      </c>
    </row>
    <row r="257" spans="1:8" x14ac:dyDescent="0.25">
      <c r="A257" t="s">
        <v>263</v>
      </c>
      <c r="B257" t="s">
        <v>372</v>
      </c>
      <c r="C257" t="s">
        <v>634</v>
      </c>
      <c r="D257" t="s">
        <v>638</v>
      </c>
      <c r="E257" t="s">
        <v>646</v>
      </c>
      <c r="F257">
        <v>9</v>
      </c>
      <c r="G257">
        <v>753.48</v>
      </c>
      <c r="H257">
        <v>42.32</v>
      </c>
    </row>
    <row r="258" spans="1:8" x14ac:dyDescent="0.25">
      <c r="A258" t="s">
        <v>264</v>
      </c>
      <c r="B258" t="s">
        <v>575</v>
      </c>
      <c r="C258" t="s">
        <v>634</v>
      </c>
      <c r="D258" t="s">
        <v>638</v>
      </c>
      <c r="E258" t="s">
        <v>646</v>
      </c>
      <c r="F258">
        <v>4</v>
      </c>
      <c r="G258">
        <v>4057.24</v>
      </c>
      <c r="H258">
        <v>402.26</v>
      </c>
    </row>
    <row r="259" spans="1:8" x14ac:dyDescent="0.25">
      <c r="A259" t="s">
        <v>265</v>
      </c>
      <c r="B259" t="s">
        <v>561</v>
      </c>
      <c r="C259" t="s">
        <v>633</v>
      </c>
      <c r="D259" t="s">
        <v>638</v>
      </c>
      <c r="E259" t="s">
        <v>644</v>
      </c>
      <c r="F259">
        <v>9</v>
      </c>
      <c r="G259">
        <v>8178.03</v>
      </c>
      <c r="H259">
        <v>1831.58</v>
      </c>
    </row>
    <row r="260" spans="1:8" x14ac:dyDescent="0.25">
      <c r="A260" t="s">
        <v>266</v>
      </c>
      <c r="B260" t="s">
        <v>576</v>
      </c>
      <c r="C260" t="s">
        <v>633</v>
      </c>
      <c r="D260" t="s">
        <v>638</v>
      </c>
      <c r="E260" t="s">
        <v>642</v>
      </c>
      <c r="F260">
        <v>7</v>
      </c>
      <c r="G260">
        <v>8024.45</v>
      </c>
      <c r="H260">
        <v>549.66999999999996</v>
      </c>
    </row>
    <row r="261" spans="1:8" x14ac:dyDescent="0.25">
      <c r="A261" t="s">
        <v>267</v>
      </c>
      <c r="B261" t="s">
        <v>577</v>
      </c>
      <c r="C261" t="s">
        <v>632</v>
      </c>
      <c r="D261" t="s">
        <v>638</v>
      </c>
      <c r="E261" t="s">
        <v>642</v>
      </c>
      <c r="F261">
        <v>9</v>
      </c>
      <c r="G261">
        <v>4461.84</v>
      </c>
      <c r="H261">
        <v>905.09</v>
      </c>
    </row>
    <row r="262" spans="1:8" x14ac:dyDescent="0.25">
      <c r="A262" t="s">
        <v>268</v>
      </c>
      <c r="B262" t="s">
        <v>578</v>
      </c>
      <c r="C262" t="s">
        <v>635</v>
      </c>
      <c r="D262" t="s">
        <v>637</v>
      </c>
      <c r="E262" t="s">
        <v>645</v>
      </c>
      <c r="F262">
        <v>7</v>
      </c>
      <c r="G262">
        <v>5049.8</v>
      </c>
      <c r="H262">
        <v>1237.8</v>
      </c>
    </row>
    <row r="263" spans="1:8" x14ac:dyDescent="0.25">
      <c r="A263" t="s">
        <v>269</v>
      </c>
      <c r="B263" t="s">
        <v>579</v>
      </c>
      <c r="C263" t="s">
        <v>635</v>
      </c>
      <c r="D263" t="s">
        <v>638</v>
      </c>
      <c r="E263" t="s">
        <v>643</v>
      </c>
      <c r="F263">
        <v>4</v>
      </c>
      <c r="G263">
        <v>3734.16</v>
      </c>
      <c r="H263">
        <v>229.35</v>
      </c>
    </row>
    <row r="264" spans="1:8" x14ac:dyDescent="0.25">
      <c r="A264" t="s">
        <v>270</v>
      </c>
      <c r="B264" t="s">
        <v>580</v>
      </c>
      <c r="C264" t="s">
        <v>633</v>
      </c>
      <c r="D264" t="s">
        <v>636</v>
      </c>
      <c r="E264" t="s">
        <v>639</v>
      </c>
      <c r="F264">
        <v>1</v>
      </c>
      <c r="G264">
        <v>932.77</v>
      </c>
      <c r="H264">
        <v>69.58</v>
      </c>
    </row>
    <row r="265" spans="1:8" x14ac:dyDescent="0.25">
      <c r="A265" t="s">
        <v>271</v>
      </c>
      <c r="B265" t="s">
        <v>513</v>
      </c>
      <c r="C265" t="s">
        <v>634</v>
      </c>
      <c r="D265" t="s">
        <v>636</v>
      </c>
      <c r="E265" t="s">
        <v>647</v>
      </c>
      <c r="F265">
        <v>9</v>
      </c>
      <c r="G265">
        <v>11506.86</v>
      </c>
      <c r="H265">
        <v>2369.86</v>
      </c>
    </row>
    <row r="266" spans="1:8" x14ac:dyDescent="0.25">
      <c r="A266" t="s">
        <v>272</v>
      </c>
      <c r="B266" t="s">
        <v>562</v>
      </c>
      <c r="C266" t="s">
        <v>632</v>
      </c>
      <c r="D266" t="s">
        <v>638</v>
      </c>
      <c r="E266" t="s">
        <v>642</v>
      </c>
      <c r="F266">
        <v>1</v>
      </c>
      <c r="G266">
        <v>374.83</v>
      </c>
      <c r="H266">
        <v>35.11</v>
      </c>
    </row>
    <row r="267" spans="1:8" x14ac:dyDescent="0.25">
      <c r="A267" t="s">
        <v>273</v>
      </c>
      <c r="B267" t="s">
        <v>510</v>
      </c>
      <c r="C267" t="s">
        <v>635</v>
      </c>
      <c r="D267" t="s">
        <v>638</v>
      </c>
      <c r="E267" t="s">
        <v>644</v>
      </c>
      <c r="F267">
        <v>1</v>
      </c>
      <c r="G267">
        <v>351.43</v>
      </c>
      <c r="H267">
        <v>67.47</v>
      </c>
    </row>
    <row r="268" spans="1:8" x14ac:dyDescent="0.25">
      <c r="A268" t="s">
        <v>274</v>
      </c>
      <c r="B268" t="s">
        <v>581</v>
      </c>
      <c r="C268" t="s">
        <v>634</v>
      </c>
      <c r="D268" t="s">
        <v>637</v>
      </c>
      <c r="E268" t="s">
        <v>640</v>
      </c>
      <c r="F268">
        <v>8</v>
      </c>
      <c r="G268">
        <v>2526.8000000000002</v>
      </c>
      <c r="H268">
        <v>572.39</v>
      </c>
    </row>
    <row r="269" spans="1:8" x14ac:dyDescent="0.25">
      <c r="A269" t="s">
        <v>275</v>
      </c>
      <c r="B269" t="s">
        <v>412</v>
      </c>
      <c r="C269" t="s">
        <v>635</v>
      </c>
      <c r="D269" t="s">
        <v>637</v>
      </c>
      <c r="E269" t="s">
        <v>640</v>
      </c>
      <c r="F269">
        <v>9</v>
      </c>
      <c r="G269">
        <v>3881.97</v>
      </c>
      <c r="H269">
        <v>848.05</v>
      </c>
    </row>
    <row r="270" spans="1:8" x14ac:dyDescent="0.25">
      <c r="A270" t="s">
        <v>276</v>
      </c>
      <c r="B270" t="s">
        <v>582</v>
      </c>
      <c r="C270" t="s">
        <v>634</v>
      </c>
      <c r="D270" t="s">
        <v>638</v>
      </c>
      <c r="E270" t="s">
        <v>643</v>
      </c>
      <c r="F270">
        <v>4</v>
      </c>
      <c r="G270">
        <v>2038.48</v>
      </c>
      <c r="H270">
        <v>362.14</v>
      </c>
    </row>
    <row r="271" spans="1:8" x14ac:dyDescent="0.25">
      <c r="A271" t="s">
        <v>277</v>
      </c>
      <c r="B271" t="s">
        <v>583</v>
      </c>
      <c r="C271" t="s">
        <v>632</v>
      </c>
      <c r="D271" t="s">
        <v>638</v>
      </c>
      <c r="E271" t="s">
        <v>643</v>
      </c>
      <c r="F271">
        <v>4</v>
      </c>
      <c r="G271">
        <v>4578.8</v>
      </c>
      <c r="H271">
        <v>999.22</v>
      </c>
    </row>
    <row r="272" spans="1:8" x14ac:dyDescent="0.25">
      <c r="A272" t="s">
        <v>278</v>
      </c>
      <c r="B272" t="s">
        <v>584</v>
      </c>
      <c r="C272" t="s">
        <v>634</v>
      </c>
      <c r="D272" t="s">
        <v>638</v>
      </c>
      <c r="E272" t="s">
        <v>646</v>
      </c>
      <c r="F272">
        <v>2</v>
      </c>
      <c r="G272">
        <v>1640.44</v>
      </c>
      <c r="H272">
        <v>270.67</v>
      </c>
    </row>
    <row r="273" spans="1:8" x14ac:dyDescent="0.25">
      <c r="A273" t="s">
        <v>279</v>
      </c>
      <c r="B273" t="s">
        <v>359</v>
      </c>
      <c r="C273" t="s">
        <v>635</v>
      </c>
      <c r="D273" t="s">
        <v>638</v>
      </c>
      <c r="E273" t="s">
        <v>643</v>
      </c>
      <c r="F273">
        <v>4</v>
      </c>
      <c r="G273">
        <v>2737.92</v>
      </c>
      <c r="H273">
        <v>540.16999999999996</v>
      </c>
    </row>
    <row r="274" spans="1:8" x14ac:dyDescent="0.25">
      <c r="A274" t="s">
        <v>280</v>
      </c>
      <c r="B274" t="s">
        <v>585</v>
      </c>
      <c r="C274" t="s">
        <v>632</v>
      </c>
      <c r="D274" t="s">
        <v>638</v>
      </c>
      <c r="E274" t="s">
        <v>644</v>
      </c>
      <c r="F274">
        <v>4</v>
      </c>
      <c r="G274">
        <v>5935.28</v>
      </c>
      <c r="H274">
        <v>548.36</v>
      </c>
    </row>
    <row r="275" spans="1:8" x14ac:dyDescent="0.25">
      <c r="A275" t="s">
        <v>281</v>
      </c>
      <c r="B275" t="s">
        <v>586</v>
      </c>
      <c r="C275" t="s">
        <v>632</v>
      </c>
      <c r="D275" t="s">
        <v>636</v>
      </c>
      <c r="E275" t="s">
        <v>647</v>
      </c>
      <c r="F275">
        <v>8</v>
      </c>
      <c r="G275">
        <v>7512.48</v>
      </c>
      <c r="H275">
        <v>1730.72</v>
      </c>
    </row>
    <row r="276" spans="1:8" x14ac:dyDescent="0.25">
      <c r="A276" t="s">
        <v>282</v>
      </c>
      <c r="B276" t="s">
        <v>587</v>
      </c>
      <c r="C276" t="s">
        <v>635</v>
      </c>
      <c r="D276" t="s">
        <v>636</v>
      </c>
      <c r="E276" t="s">
        <v>647</v>
      </c>
      <c r="F276">
        <v>3</v>
      </c>
      <c r="G276">
        <v>3590.46</v>
      </c>
      <c r="H276">
        <v>692.78</v>
      </c>
    </row>
    <row r="277" spans="1:8" x14ac:dyDescent="0.25">
      <c r="A277" t="s">
        <v>283</v>
      </c>
      <c r="B277" t="s">
        <v>588</v>
      </c>
      <c r="C277" t="s">
        <v>633</v>
      </c>
      <c r="D277" t="s">
        <v>638</v>
      </c>
      <c r="E277" t="s">
        <v>646</v>
      </c>
      <c r="F277">
        <v>8</v>
      </c>
      <c r="G277">
        <v>11622.24</v>
      </c>
      <c r="H277">
        <v>745.71</v>
      </c>
    </row>
    <row r="278" spans="1:8" x14ac:dyDescent="0.25">
      <c r="A278" t="s">
        <v>284</v>
      </c>
      <c r="B278" t="s">
        <v>589</v>
      </c>
      <c r="C278" t="s">
        <v>634</v>
      </c>
      <c r="D278" t="s">
        <v>636</v>
      </c>
      <c r="E278" t="s">
        <v>641</v>
      </c>
      <c r="F278">
        <v>6</v>
      </c>
      <c r="G278">
        <v>288.54000000000002</v>
      </c>
      <c r="H278">
        <v>21.59</v>
      </c>
    </row>
    <row r="279" spans="1:8" x14ac:dyDescent="0.25">
      <c r="A279" t="s">
        <v>285</v>
      </c>
      <c r="B279" t="s">
        <v>590</v>
      </c>
      <c r="C279" t="s">
        <v>634</v>
      </c>
      <c r="D279" t="s">
        <v>638</v>
      </c>
      <c r="E279" t="s">
        <v>646</v>
      </c>
      <c r="F279">
        <v>8</v>
      </c>
      <c r="G279">
        <v>3729.28</v>
      </c>
      <c r="H279">
        <v>475.23</v>
      </c>
    </row>
    <row r="280" spans="1:8" x14ac:dyDescent="0.25">
      <c r="A280" t="s">
        <v>286</v>
      </c>
      <c r="B280" t="s">
        <v>545</v>
      </c>
      <c r="C280" t="s">
        <v>632</v>
      </c>
      <c r="D280" t="s">
        <v>638</v>
      </c>
      <c r="E280" t="s">
        <v>644</v>
      </c>
      <c r="F280">
        <v>2</v>
      </c>
      <c r="G280">
        <v>743.84</v>
      </c>
      <c r="H280">
        <v>114.89</v>
      </c>
    </row>
    <row r="281" spans="1:8" x14ac:dyDescent="0.25">
      <c r="A281" t="s">
        <v>287</v>
      </c>
      <c r="B281" t="s">
        <v>367</v>
      </c>
      <c r="C281" t="s">
        <v>635</v>
      </c>
      <c r="D281" t="s">
        <v>636</v>
      </c>
      <c r="E281" t="s">
        <v>647</v>
      </c>
      <c r="F281">
        <v>2</v>
      </c>
      <c r="G281">
        <v>2622.8</v>
      </c>
      <c r="H281">
        <v>327.08999999999997</v>
      </c>
    </row>
    <row r="282" spans="1:8" x14ac:dyDescent="0.25">
      <c r="A282" t="s">
        <v>288</v>
      </c>
      <c r="B282" t="s">
        <v>591</v>
      </c>
      <c r="C282" t="s">
        <v>633</v>
      </c>
      <c r="D282" t="s">
        <v>636</v>
      </c>
      <c r="E282" t="s">
        <v>647</v>
      </c>
      <c r="F282">
        <v>9</v>
      </c>
      <c r="G282">
        <v>6896.52</v>
      </c>
      <c r="H282">
        <v>1515.09</v>
      </c>
    </row>
    <row r="283" spans="1:8" x14ac:dyDescent="0.25">
      <c r="A283" t="s">
        <v>289</v>
      </c>
      <c r="B283" t="s">
        <v>592</v>
      </c>
      <c r="C283" t="s">
        <v>632</v>
      </c>
      <c r="D283" t="s">
        <v>638</v>
      </c>
      <c r="E283" t="s">
        <v>643</v>
      </c>
      <c r="F283">
        <v>7</v>
      </c>
      <c r="G283">
        <v>8331.5400000000009</v>
      </c>
      <c r="H283">
        <v>1304.5999999999999</v>
      </c>
    </row>
    <row r="284" spans="1:8" x14ac:dyDescent="0.25">
      <c r="A284" t="s">
        <v>290</v>
      </c>
      <c r="B284" t="s">
        <v>593</v>
      </c>
      <c r="C284" t="s">
        <v>635</v>
      </c>
      <c r="D284" t="s">
        <v>637</v>
      </c>
      <c r="E284" t="s">
        <v>649</v>
      </c>
      <c r="F284">
        <v>4</v>
      </c>
      <c r="G284">
        <v>1635.04</v>
      </c>
      <c r="H284">
        <v>275.98</v>
      </c>
    </row>
    <row r="285" spans="1:8" x14ac:dyDescent="0.25">
      <c r="A285" t="s">
        <v>291</v>
      </c>
      <c r="B285" t="s">
        <v>594</v>
      </c>
      <c r="C285" t="s">
        <v>632</v>
      </c>
      <c r="D285" t="s">
        <v>637</v>
      </c>
      <c r="E285" t="s">
        <v>640</v>
      </c>
      <c r="F285">
        <v>8</v>
      </c>
      <c r="G285">
        <v>5268.24</v>
      </c>
      <c r="H285">
        <v>595.41</v>
      </c>
    </row>
    <row r="286" spans="1:8" x14ac:dyDescent="0.25">
      <c r="A286" t="s">
        <v>292</v>
      </c>
      <c r="B286" t="s">
        <v>595</v>
      </c>
      <c r="C286" t="s">
        <v>634</v>
      </c>
      <c r="D286" t="s">
        <v>636</v>
      </c>
      <c r="E286" t="s">
        <v>639</v>
      </c>
      <c r="F286">
        <v>8</v>
      </c>
      <c r="G286">
        <v>7121.12</v>
      </c>
      <c r="H286">
        <v>2055.46</v>
      </c>
    </row>
    <row r="287" spans="1:8" x14ac:dyDescent="0.25">
      <c r="A287" t="s">
        <v>293</v>
      </c>
      <c r="B287" t="s">
        <v>504</v>
      </c>
      <c r="C287" t="s">
        <v>632</v>
      </c>
      <c r="D287" t="s">
        <v>636</v>
      </c>
      <c r="E287" t="s">
        <v>647</v>
      </c>
      <c r="F287">
        <v>4</v>
      </c>
      <c r="G287">
        <v>497.32</v>
      </c>
      <c r="H287">
        <v>142.12</v>
      </c>
    </row>
    <row r="288" spans="1:8" x14ac:dyDescent="0.25">
      <c r="A288" t="s">
        <v>294</v>
      </c>
      <c r="B288" t="s">
        <v>596</v>
      </c>
      <c r="C288" t="s">
        <v>635</v>
      </c>
      <c r="D288" t="s">
        <v>636</v>
      </c>
      <c r="E288" t="s">
        <v>639</v>
      </c>
      <c r="F288">
        <v>3</v>
      </c>
      <c r="G288">
        <v>1536.18</v>
      </c>
      <c r="H288">
        <v>360.98</v>
      </c>
    </row>
    <row r="289" spans="1:8" x14ac:dyDescent="0.25">
      <c r="A289" t="s">
        <v>295</v>
      </c>
      <c r="B289" t="s">
        <v>524</v>
      </c>
      <c r="C289" t="s">
        <v>635</v>
      </c>
      <c r="D289" t="s">
        <v>638</v>
      </c>
      <c r="E289" t="s">
        <v>644</v>
      </c>
      <c r="F289">
        <v>1</v>
      </c>
      <c r="G289">
        <v>1270.6500000000001</v>
      </c>
      <c r="H289">
        <v>178.63</v>
      </c>
    </row>
    <row r="290" spans="1:8" x14ac:dyDescent="0.25">
      <c r="A290" t="s">
        <v>296</v>
      </c>
      <c r="B290" t="s">
        <v>597</v>
      </c>
      <c r="C290" t="s">
        <v>634</v>
      </c>
      <c r="D290" t="s">
        <v>636</v>
      </c>
      <c r="E290" t="s">
        <v>647</v>
      </c>
      <c r="F290">
        <v>3</v>
      </c>
      <c r="G290">
        <v>808.5</v>
      </c>
      <c r="H290">
        <v>180.8</v>
      </c>
    </row>
    <row r="291" spans="1:8" x14ac:dyDescent="0.25">
      <c r="A291" t="s">
        <v>297</v>
      </c>
      <c r="B291" t="s">
        <v>421</v>
      </c>
      <c r="C291" t="s">
        <v>633</v>
      </c>
      <c r="D291" t="s">
        <v>638</v>
      </c>
      <c r="E291" t="s">
        <v>646</v>
      </c>
      <c r="F291">
        <v>7</v>
      </c>
      <c r="G291">
        <v>4114.18</v>
      </c>
      <c r="H291">
        <v>324.39999999999998</v>
      </c>
    </row>
    <row r="292" spans="1:8" x14ac:dyDescent="0.25">
      <c r="A292" t="s">
        <v>298</v>
      </c>
      <c r="B292" t="s">
        <v>598</v>
      </c>
      <c r="C292" t="s">
        <v>634</v>
      </c>
      <c r="D292" t="s">
        <v>637</v>
      </c>
      <c r="E292" t="s">
        <v>640</v>
      </c>
      <c r="F292">
        <v>8</v>
      </c>
      <c r="G292">
        <v>4975.04</v>
      </c>
      <c r="H292">
        <v>630.61</v>
      </c>
    </row>
    <row r="293" spans="1:8" x14ac:dyDescent="0.25">
      <c r="A293" t="s">
        <v>299</v>
      </c>
      <c r="B293" t="s">
        <v>599</v>
      </c>
      <c r="C293" t="s">
        <v>635</v>
      </c>
      <c r="D293" t="s">
        <v>637</v>
      </c>
      <c r="E293" t="s">
        <v>645</v>
      </c>
      <c r="F293">
        <v>9</v>
      </c>
      <c r="G293">
        <v>5833.26</v>
      </c>
      <c r="H293">
        <v>1744.92</v>
      </c>
    </row>
    <row r="294" spans="1:8" x14ac:dyDescent="0.25">
      <c r="A294" t="s">
        <v>300</v>
      </c>
      <c r="B294" t="s">
        <v>600</v>
      </c>
      <c r="C294" t="s">
        <v>635</v>
      </c>
      <c r="D294" t="s">
        <v>636</v>
      </c>
      <c r="E294" t="s">
        <v>647</v>
      </c>
      <c r="F294">
        <v>1</v>
      </c>
      <c r="G294">
        <v>1487.62</v>
      </c>
      <c r="H294">
        <v>263.64</v>
      </c>
    </row>
    <row r="295" spans="1:8" x14ac:dyDescent="0.25">
      <c r="A295" t="s">
        <v>301</v>
      </c>
      <c r="B295" t="s">
        <v>601</v>
      </c>
      <c r="C295" t="s">
        <v>635</v>
      </c>
      <c r="D295" t="s">
        <v>637</v>
      </c>
      <c r="E295" t="s">
        <v>650</v>
      </c>
      <c r="F295">
        <v>4</v>
      </c>
      <c r="G295">
        <v>2223.36</v>
      </c>
      <c r="H295">
        <v>630.30999999999995</v>
      </c>
    </row>
    <row r="296" spans="1:8" x14ac:dyDescent="0.25">
      <c r="A296" t="s">
        <v>302</v>
      </c>
      <c r="B296" t="s">
        <v>602</v>
      </c>
      <c r="C296" t="s">
        <v>634</v>
      </c>
      <c r="D296" t="s">
        <v>637</v>
      </c>
      <c r="E296" t="s">
        <v>640</v>
      </c>
      <c r="F296">
        <v>8</v>
      </c>
      <c r="G296">
        <v>632.96</v>
      </c>
      <c r="H296">
        <v>67.48</v>
      </c>
    </row>
    <row r="297" spans="1:8" x14ac:dyDescent="0.25">
      <c r="A297" t="s">
        <v>303</v>
      </c>
      <c r="B297" t="s">
        <v>603</v>
      </c>
      <c r="C297" t="s">
        <v>634</v>
      </c>
      <c r="D297" t="s">
        <v>638</v>
      </c>
      <c r="E297" t="s">
        <v>646</v>
      </c>
      <c r="F297">
        <v>7</v>
      </c>
      <c r="G297">
        <v>2894.5</v>
      </c>
      <c r="H297">
        <v>462.67</v>
      </c>
    </row>
    <row r="298" spans="1:8" x14ac:dyDescent="0.25">
      <c r="A298" t="s">
        <v>304</v>
      </c>
      <c r="B298" t="s">
        <v>438</v>
      </c>
      <c r="C298" t="s">
        <v>632</v>
      </c>
      <c r="D298" t="s">
        <v>637</v>
      </c>
      <c r="E298" t="s">
        <v>640</v>
      </c>
      <c r="F298">
        <v>9</v>
      </c>
      <c r="G298">
        <v>3711.33</v>
      </c>
      <c r="H298">
        <v>565.75</v>
      </c>
    </row>
    <row r="299" spans="1:8" x14ac:dyDescent="0.25">
      <c r="A299" t="s">
        <v>305</v>
      </c>
      <c r="B299" t="s">
        <v>551</v>
      </c>
      <c r="C299" t="s">
        <v>634</v>
      </c>
      <c r="D299" t="s">
        <v>636</v>
      </c>
      <c r="E299" t="s">
        <v>648</v>
      </c>
      <c r="F299">
        <v>2</v>
      </c>
      <c r="G299">
        <v>127.62</v>
      </c>
      <c r="H299">
        <v>21.57</v>
      </c>
    </row>
    <row r="300" spans="1:8" x14ac:dyDescent="0.25">
      <c r="A300" t="s">
        <v>306</v>
      </c>
      <c r="B300" t="s">
        <v>461</v>
      </c>
      <c r="C300" t="s">
        <v>635</v>
      </c>
      <c r="D300" t="s">
        <v>638</v>
      </c>
      <c r="E300" t="s">
        <v>643</v>
      </c>
      <c r="F300">
        <v>6</v>
      </c>
      <c r="G300">
        <v>2955.72</v>
      </c>
      <c r="H300">
        <v>354.52</v>
      </c>
    </row>
    <row r="301" spans="1:8" x14ac:dyDescent="0.25">
      <c r="A301" t="s">
        <v>307</v>
      </c>
      <c r="B301" t="s">
        <v>604</v>
      </c>
      <c r="C301" t="s">
        <v>633</v>
      </c>
      <c r="D301" t="s">
        <v>638</v>
      </c>
      <c r="E301" t="s">
        <v>643</v>
      </c>
      <c r="F301">
        <v>9</v>
      </c>
      <c r="G301">
        <v>2420.1</v>
      </c>
      <c r="H301">
        <v>175.85</v>
      </c>
    </row>
    <row r="302" spans="1:8" x14ac:dyDescent="0.25">
      <c r="A302" t="s">
        <v>308</v>
      </c>
      <c r="B302" t="s">
        <v>572</v>
      </c>
      <c r="C302" t="s">
        <v>632</v>
      </c>
      <c r="D302" t="s">
        <v>637</v>
      </c>
      <c r="E302" t="s">
        <v>649</v>
      </c>
      <c r="F302">
        <v>5</v>
      </c>
      <c r="G302">
        <v>1539.35</v>
      </c>
      <c r="H302">
        <v>293.16000000000003</v>
      </c>
    </row>
    <row r="303" spans="1:8" x14ac:dyDescent="0.25">
      <c r="A303" t="s">
        <v>309</v>
      </c>
      <c r="B303" t="s">
        <v>456</v>
      </c>
      <c r="C303" t="s">
        <v>633</v>
      </c>
      <c r="D303" t="s">
        <v>636</v>
      </c>
      <c r="E303" t="s">
        <v>648</v>
      </c>
      <c r="F303">
        <v>4</v>
      </c>
      <c r="G303">
        <v>3454.24</v>
      </c>
      <c r="H303">
        <v>743.91</v>
      </c>
    </row>
    <row r="304" spans="1:8" x14ac:dyDescent="0.25">
      <c r="A304" t="s">
        <v>310</v>
      </c>
      <c r="B304" t="s">
        <v>605</v>
      </c>
      <c r="C304" t="s">
        <v>633</v>
      </c>
      <c r="D304" t="s">
        <v>638</v>
      </c>
      <c r="E304" t="s">
        <v>643</v>
      </c>
      <c r="F304">
        <v>4</v>
      </c>
      <c r="G304">
        <v>1163.68</v>
      </c>
      <c r="H304">
        <v>180.7</v>
      </c>
    </row>
    <row r="305" spans="1:8" x14ac:dyDescent="0.25">
      <c r="A305" t="s">
        <v>311</v>
      </c>
      <c r="B305" t="s">
        <v>406</v>
      </c>
      <c r="C305" t="s">
        <v>635</v>
      </c>
      <c r="D305" t="s">
        <v>637</v>
      </c>
      <c r="E305" t="s">
        <v>650</v>
      </c>
      <c r="F305">
        <v>9</v>
      </c>
      <c r="G305">
        <v>10696.86</v>
      </c>
      <c r="H305">
        <v>2944.12</v>
      </c>
    </row>
    <row r="306" spans="1:8" x14ac:dyDescent="0.25">
      <c r="A306" t="s">
        <v>312</v>
      </c>
      <c r="B306" t="s">
        <v>606</v>
      </c>
      <c r="C306" t="s">
        <v>635</v>
      </c>
      <c r="D306" t="s">
        <v>636</v>
      </c>
      <c r="E306" t="s">
        <v>639</v>
      </c>
      <c r="F306">
        <v>5</v>
      </c>
      <c r="G306">
        <v>2952.35</v>
      </c>
      <c r="H306">
        <v>883.83</v>
      </c>
    </row>
    <row r="307" spans="1:8" x14ac:dyDescent="0.25">
      <c r="A307" t="s">
        <v>313</v>
      </c>
      <c r="B307" t="s">
        <v>446</v>
      </c>
      <c r="C307" t="s">
        <v>633</v>
      </c>
      <c r="D307" t="s">
        <v>636</v>
      </c>
      <c r="E307" t="s">
        <v>647</v>
      </c>
      <c r="F307">
        <v>6</v>
      </c>
      <c r="G307">
        <v>5184.4799999999996</v>
      </c>
      <c r="H307">
        <v>299.75</v>
      </c>
    </row>
    <row r="308" spans="1:8" x14ac:dyDescent="0.25">
      <c r="A308" t="s">
        <v>314</v>
      </c>
      <c r="B308" t="s">
        <v>427</v>
      </c>
      <c r="C308" t="s">
        <v>632</v>
      </c>
      <c r="D308" t="s">
        <v>637</v>
      </c>
      <c r="E308" t="s">
        <v>649</v>
      </c>
      <c r="F308">
        <v>6</v>
      </c>
      <c r="G308">
        <v>6947.16</v>
      </c>
      <c r="H308">
        <v>447.37</v>
      </c>
    </row>
    <row r="309" spans="1:8" x14ac:dyDescent="0.25">
      <c r="A309" t="s">
        <v>315</v>
      </c>
      <c r="B309" t="s">
        <v>607</v>
      </c>
      <c r="C309" t="s">
        <v>633</v>
      </c>
      <c r="D309" t="s">
        <v>637</v>
      </c>
      <c r="E309" t="s">
        <v>650</v>
      </c>
      <c r="F309">
        <v>6</v>
      </c>
      <c r="G309">
        <v>1507.8</v>
      </c>
      <c r="H309">
        <v>178.18</v>
      </c>
    </row>
    <row r="310" spans="1:8" x14ac:dyDescent="0.25">
      <c r="A310" t="s">
        <v>316</v>
      </c>
      <c r="B310" t="s">
        <v>608</v>
      </c>
      <c r="C310" t="s">
        <v>633</v>
      </c>
      <c r="D310" t="s">
        <v>638</v>
      </c>
      <c r="E310" t="s">
        <v>646</v>
      </c>
      <c r="F310">
        <v>5</v>
      </c>
      <c r="G310">
        <v>6357.6</v>
      </c>
      <c r="H310">
        <v>1759.44</v>
      </c>
    </row>
    <row r="311" spans="1:8" x14ac:dyDescent="0.25">
      <c r="A311" t="s">
        <v>317</v>
      </c>
      <c r="B311" t="s">
        <v>529</v>
      </c>
      <c r="C311" t="s">
        <v>635</v>
      </c>
      <c r="D311" t="s">
        <v>638</v>
      </c>
      <c r="E311" t="s">
        <v>646</v>
      </c>
      <c r="F311">
        <v>7</v>
      </c>
      <c r="G311">
        <v>3125.01</v>
      </c>
      <c r="H311">
        <v>652.62</v>
      </c>
    </row>
    <row r="312" spans="1:8" x14ac:dyDescent="0.25">
      <c r="A312" t="s">
        <v>318</v>
      </c>
      <c r="B312" t="s">
        <v>609</v>
      </c>
      <c r="C312" t="s">
        <v>634</v>
      </c>
      <c r="D312" t="s">
        <v>636</v>
      </c>
      <c r="E312" t="s">
        <v>639</v>
      </c>
      <c r="F312">
        <v>6</v>
      </c>
      <c r="G312">
        <v>1493.52</v>
      </c>
      <c r="H312">
        <v>428.85</v>
      </c>
    </row>
    <row r="313" spans="1:8" x14ac:dyDescent="0.25">
      <c r="A313" t="s">
        <v>319</v>
      </c>
      <c r="B313" t="s">
        <v>610</v>
      </c>
      <c r="C313" t="s">
        <v>633</v>
      </c>
      <c r="D313" t="s">
        <v>637</v>
      </c>
      <c r="E313" t="s">
        <v>650</v>
      </c>
      <c r="F313">
        <v>9</v>
      </c>
      <c r="G313">
        <v>11597.94</v>
      </c>
      <c r="H313">
        <v>841.92</v>
      </c>
    </row>
    <row r="314" spans="1:8" x14ac:dyDescent="0.25">
      <c r="A314" t="s">
        <v>320</v>
      </c>
      <c r="B314" t="s">
        <v>611</v>
      </c>
      <c r="C314" t="s">
        <v>635</v>
      </c>
      <c r="D314" t="s">
        <v>637</v>
      </c>
      <c r="E314" t="s">
        <v>645</v>
      </c>
      <c r="F314">
        <v>3</v>
      </c>
      <c r="G314">
        <v>2222.0100000000002</v>
      </c>
      <c r="H314">
        <v>233.14</v>
      </c>
    </row>
    <row r="315" spans="1:8" x14ac:dyDescent="0.25">
      <c r="A315" t="s">
        <v>321</v>
      </c>
      <c r="B315" t="s">
        <v>612</v>
      </c>
      <c r="C315" t="s">
        <v>633</v>
      </c>
      <c r="D315" t="s">
        <v>638</v>
      </c>
      <c r="E315" t="s">
        <v>642</v>
      </c>
      <c r="F315">
        <v>4</v>
      </c>
      <c r="G315">
        <v>1353.56</v>
      </c>
      <c r="H315">
        <v>109.22</v>
      </c>
    </row>
    <row r="316" spans="1:8" x14ac:dyDescent="0.25">
      <c r="A316" t="s">
        <v>322</v>
      </c>
      <c r="B316" t="s">
        <v>613</v>
      </c>
      <c r="C316" t="s">
        <v>635</v>
      </c>
      <c r="D316" t="s">
        <v>636</v>
      </c>
      <c r="E316" t="s">
        <v>639</v>
      </c>
      <c r="F316">
        <v>8</v>
      </c>
      <c r="G316">
        <v>1753.68</v>
      </c>
      <c r="H316">
        <v>123.15</v>
      </c>
    </row>
    <row r="317" spans="1:8" x14ac:dyDescent="0.25">
      <c r="A317" t="s">
        <v>323</v>
      </c>
      <c r="B317" t="s">
        <v>614</v>
      </c>
      <c r="C317" t="s">
        <v>635</v>
      </c>
      <c r="D317" t="s">
        <v>637</v>
      </c>
      <c r="E317" t="s">
        <v>649</v>
      </c>
      <c r="F317">
        <v>3</v>
      </c>
      <c r="G317">
        <v>1861.68</v>
      </c>
      <c r="H317">
        <v>438.91</v>
      </c>
    </row>
    <row r="318" spans="1:8" x14ac:dyDescent="0.25">
      <c r="A318" t="s">
        <v>324</v>
      </c>
      <c r="B318" t="s">
        <v>615</v>
      </c>
      <c r="C318" t="s">
        <v>635</v>
      </c>
      <c r="D318" t="s">
        <v>637</v>
      </c>
      <c r="E318" t="s">
        <v>640</v>
      </c>
      <c r="F318">
        <v>2</v>
      </c>
      <c r="G318">
        <v>1976.68</v>
      </c>
      <c r="H318">
        <v>155.49</v>
      </c>
    </row>
    <row r="319" spans="1:8" x14ac:dyDescent="0.25">
      <c r="A319" t="s">
        <v>325</v>
      </c>
      <c r="B319" t="s">
        <v>437</v>
      </c>
      <c r="C319" t="s">
        <v>634</v>
      </c>
      <c r="D319" t="s">
        <v>638</v>
      </c>
      <c r="E319" t="s">
        <v>646</v>
      </c>
      <c r="F319">
        <v>5</v>
      </c>
      <c r="G319">
        <v>5369.45</v>
      </c>
      <c r="H319">
        <v>777.45</v>
      </c>
    </row>
    <row r="320" spans="1:8" x14ac:dyDescent="0.25">
      <c r="A320" t="s">
        <v>326</v>
      </c>
      <c r="B320" t="s">
        <v>486</v>
      </c>
      <c r="C320" t="s">
        <v>633</v>
      </c>
      <c r="D320" t="s">
        <v>638</v>
      </c>
      <c r="E320" t="s">
        <v>644</v>
      </c>
      <c r="F320">
        <v>5</v>
      </c>
      <c r="G320">
        <v>2681.95</v>
      </c>
      <c r="H320">
        <v>552.01</v>
      </c>
    </row>
    <row r="321" spans="1:8" x14ac:dyDescent="0.25">
      <c r="A321" t="s">
        <v>327</v>
      </c>
      <c r="B321" t="s">
        <v>386</v>
      </c>
      <c r="C321" t="s">
        <v>632</v>
      </c>
      <c r="D321" t="s">
        <v>638</v>
      </c>
      <c r="E321" t="s">
        <v>644</v>
      </c>
      <c r="F321">
        <v>8</v>
      </c>
      <c r="G321">
        <v>9643.6</v>
      </c>
      <c r="H321">
        <v>783.12</v>
      </c>
    </row>
    <row r="322" spans="1:8" x14ac:dyDescent="0.25">
      <c r="A322" t="s">
        <v>328</v>
      </c>
      <c r="B322" t="s">
        <v>518</v>
      </c>
      <c r="C322" t="s">
        <v>632</v>
      </c>
      <c r="D322" t="s">
        <v>638</v>
      </c>
      <c r="E322" t="s">
        <v>643</v>
      </c>
      <c r="F322">
        <v>9</v>
      </c>
      <c r="G322">
        <v>8156.34</v>
      </c>
      <c r="H322">
        <v>475.97</v>
      </c>
    </row>
    <row r="323" spans="1:8" x14ac:dyDescent="0.25">
      <c r="A323" t="s">
        <v>329</v>
      </c>
      <c r="B323" t="s">
        <v>616</v>
      </c>
      <c r="C323" t="s">
        <v>632</v>
      </c>
      <c r="D323" t="s">
        <v>636</v>
      </c>
      <c r="E323" t="s">
        <v>639</v>
      </c>
      <c r="F323">
        <v>9</v>
      </c>
      <c r="G323">
        <v>3121.2</v>
      </c>
      <c r="H323">
        <v>812.96</v>
      </c>
    </row>
    <row r="324" spans="1:8" x14ac:dyDescent="0.25">
      <c r="A324" t="s">
        <v>330</v>
      </c>
      <c r="B324" t="s">
        <v>569</v>
      </c>
      <c r="C324" t="s">
        <v>635</v>
      </c>
      <c r="D324" t="s">
        <v>638</v>
      </c>
      <c r="E324" t="s">
        <v>644</v>
      </c>
      <c r="F324">
        <v>1</v>
      </c>
      <c r="G324">
        <v>70.13</v>
      </c>
      <c r="H324">
        <v>14.86</v>
      </c>
    </row>
    <row r="325" spans="1:8" x14ac:dyDescent="0.25">
      <c r="A325" t="s">
        <v>331</v>
      </c>
      <c r="B325" t="s">
        <v>476</v>
      </c>
      <c r="C325" t="s">
        <v>633</v>
      </c>
      <c r="D325" t="s">
        <v>637</v>
      </c>
      <c r="E325" t="s">
        <v>649</v>
      </c>
      <c r="F325">
        <v>5</v>
      </c>
      <c r="G325">
        <v>4650.3</v>
      </c>
      <c r="H325">
        <v>1224.44</v>
      </c>
    </row>
    <row r="326" spans="1:8" x14ac:dyDescent="0.25">
      <c r="A326" t="s">
        <v>332</v>
      </c>
      <c r="B326" t="s">
        <v>617</v>
      </c>
      <c r="C326" t="s">
        <v>635</v>
      </c>
      <c r="D326" t="s">
        <v>636</v>
      </c>
      <c r="E326" t="s">
        <v>641</v>
      </c>
      <c r="F326">
        <v>1</v>
      </c>
      <c r="G326">
        <v>586.30999999999995</v>
      </c>
      <c r="H326">
        <v>153.5</v>
      </c>
    </row>
    <row r="327" spans="1:8" x14ac:dyDescent="0.25">
      <c r="A327" t="s">
        <v>333</v>
      </c>
      <c r="B327" t="s">
        <v>618</v>
      </c>
      <c r="C327" t="s">
        <v>633</v>
      </c>
      <c r="D327" t="s">
        <v>637</v>
      </c>
      <c r="E327" t="s">
        <v>649</v>
      </c>
      <c r="F327">
        <v>7</v>
      </c>
      <c r="G327">
        <v>10484.74</v>
      </c>
      <c r="H327">
        <v>2614.8200000000002</v>
      </c>
    </row>
    <row r="328" spans="1:8" x14ac:dyDescent="0.25">
      <c r="A328" t="s">
        <v>334</v>
      </c>
      <c r="B328" t="s">
        <v>489</v>
      </c>
      <c r="C328" t="s">
        <v>635</v>
      </c>
      <c r="D328" t="s">
        <v>636</v>
      </c>
      <c r="E328" t="s">
        <v>647</v>
      </c>
      <c r="F328">
        <v>1</v>
      </c>
      <c r="G328">
        <v>959.59</v>
      </c>
      <c r="H328">
        <v>114.1</v>
      </c>
    </row>
    <row r="329" spans="1:8" x14ac:dyDescent="0.25">
      <c r="A329" t="s">
        <v>335</v>
      </c>
      <c r="B329" t="s">
        <v>466</v>
      </c>
      <c r="C329" t="s">
        <v>632</v>
      </c>
      <c r="D329" t="s">
        <v>637</v>
      </c>
      <c r="E329" t="s">
        <v>640</v>
      </c>
      <c r="F329">
        <v>5</v>
      </c>
      <c r="G329">
        <v>747.5</v>
      </c>
      <c r="H329">
        <v>144.25</v>
      </c>
    </row>
    <row r="330" spans="1:8" x14ac:dyDescent="0.25">
      <c r="A330" t="s">
        <v>336</v>
      </c>
      <c r="B330" t="s">
        <v>458</v>
      </c>
      <c r="C330" t="s">
        <v>635</v>
      </c>
      <c r="D330" t="s">
        <v>638</v>
      </c>
      <c r="E330" t="s">
        <v>642</v>
      </c>
      <c r="F330">
        <v>5</v>
      </c>
      <c r="G330">
        <v>3255.45</v>
      </c>
      <c r="H330">
        <v>190.41</v>
      </c>
    </row>
    <row r="331" spans="1:8" x14ac:dyDescent="0.25">
      <c r="A331" t="s">
        <v>337</v>
      </c>
      <c r="B331" t="s">
        <v>420</v>
      </c>
      <c r="C331" t="s">
        <v>633</v>
      </c>
      <c r="D331" t="s">
        <v>637</v>
      </c>
      <c r="E331" t="s">
        <v>645</v>
      </c>
      <c r="F331">
        <v>4</v>
      </c>
      <c r="G331">
        <v>5028.28</v>
      </c>
      <c r="H331">
        <v>775.52</v>
      </c>
    </row>
    <row r="332" spans="1:8" x14ac:dyDescent="0.25">
      <c r="A332" t="s">
        <v>338</v>
      </c>
      <c r="B332" t="s">
        <v>378</v>
      </c>
      <c r="C332" t="s">
        <v>633</v>
      </c>
      <c r="D332" t="s">
        <v>636</v>
      </c>
      <c r="E332" t="s">
        <v>648</v>
      </c>
      <c r="F332">
        <v>1</v>
      </c>
      <c r="G332">
        <v>111.14</v>
      </c>
      <c r="H332">
        <v>12.41</v>
      </c>
    </row>
    <row r="333" spans="1:8" x14ac:dyDescent="0.25">
      <c r="A333" t="s">
        <v>339</v>
      </c>
      <c r="B333" t="s">
        <v>619</v>
      </c>
      <c r="C333" t="s">
        <v>635</v>
      </c>
      <c r="D333" t="s">
        <v>637</v>
      </c>
      <c r="E333" t="s">
        <v>650</v>
      </c>
      <c r="F333">
        <v>4</v>
      </c>
      <c r="G333">
        <v>4533.2</v>
      </c>
      <c r="H333">
        <v>423.49</v>
      </c>
    </row>
    <row r="334" spans="1:8" x14ac:dyDescent="0.25">
      <c r="A334" t="s">
        <v>340</v>
      </c>
      <c r="B334" t="s">
        <v>620</v>
      </c>
      <c r="C334" t="s">
        <v>632</v>
      </c>
      <c r="D334" t="s">
        <v>638</v>
      </c>
      <c r="E334" t="s">
        <v>646</v>
      </c>
      <c r="F334">
        <v>4</v>
      </c>
      <c r="G334">
        <v>4204.3999999999996</v>
      </c>
      <c r="H334">
        <v>318.55</v>
      </c>
    </row>
    <row r="335" spans="1:8" x14ac:dyDescent="0.25">
      <c r="A335" t="s">
        <v>341</v>
      </c>
      <c r="B335" t="s">
        <v>418</v>
      </c>
      <c r="C335" t="s">
        <v>634</v>
      </c>
      <c r="D335" t="s">
        <v>637</v>
      </c>
      <c r="E335" t="s">
        <v>649</v>
      </c>
      <c r="F335">
        <v>5</v>
      </c>
      <c r="G335">
        <v>6338.1</v>
      </c>
      <c r="H335">
        <v>334.25</v>
      </c>
    </row>
    <row r="336" spans="1:8" x14ac:dyDescent="0.25">
      <c r="A336" t="s">
        <v>342</v>
      </c>
      <c r="B336" t="s">
        <v>621</v>
      </c>
      <c r="C336" t="s">
        <v>635</v>
      </c>
      <c r="D336" t="s">
        <v>636</v>
      </c>
      <c r="E336" t="s">
        <v>641</v>
      </c>
      <c r="F336">
        <v>2</v>
      </c>
      <c r="G336">
        <v>140.84</v>
      </c>
      <c r="H336">
        <v>28.9</v>
      </c>
    </row>
    <row r="337" spans="1:8" x14ac:dyDescent="0.25">
      <c r="A337" t="s">
        <v>343</v>
      </c>
      <c r="B337" t="s">
        <v>372</v>
      </c>
      <c r="C337" t="s">
        <v>632</v>
      </c>
      <c r="D337" t="s">
        <v>637</v>
      </c>
      <c r="E337" t="s">
        <v>645</v>
      </c>
      <c r="F337">
        <v>3</v>
      </c>
      <c r="G337">
        <v>3507.93</v>
      </c>
      <c r="H337">
        <v>990.52</v>
      </c>
    </row>
    <row r="338" spans="1:8" x14ac:dyDescent="0.25">
      <c r="A338" t="s">
        <v>344</v>
      </c>
      <c r="B338" t="s">
        <v>622</v>
      </c>
      <c r="C338" t="s">
        <v>635</v>
      </c>
      <c r="D338" t="s">
        <v>637</v>
      </c>
      <c r="E338" t="s">
        <v>650</v>
      </c>
      <c r="F338">
        <v>6</v>
      </c>
      <c r="G338">
        <v>3058.56</v>
      </c>
      <c r="H338">
        <v>489.57</v>
      </c>
    </row>
    <row r="339" spans="1:8" x14ac:dyDescent="0.25">
      <c r="A339" t="s">
        <v>345</v>
      </c>
      <c r="B339" t="s">
        <v>623</v>
      </c>
      <c r="C339" t="s">
        <v>635</v>
      </c>
      <c r="D339" t="s">
        <v>637</v>
      </c>
      <c r="E339" t="s">
        <v>649</v>
      </c>
      <c r="F339">
        <v>9</v>
      </c>
      <c r="G339">
        <v>3445.56</v>
      </c>
      <c r="H339">
        <v>1006.93</v>
      </c>
    </row>
    <row r="340" spans="1:8" x14ac:dyDescent="0.25">
      <c r="A340" t="s">
        <v>346</v>
      </c>
      <c r="B340" t="s">
        <v>624</v>
      </c>
      <c r="C340" t="s">
        <v>634</v>
      </c>
      <c r="D340" t="s">
        <v>638</v>
      </c>
      <c r="E340" t="s">
        <v>643</v>
      </c>
      <c r="F340">
        <v>7</v>
      </c>
      <c r="G340">
        <v>261.66000000000003</v>
      </c>
      <c r="H340">
        <v>44.49</v>
      </c>
    </row>
    <row r="341" spans="1:8" x14ac:dyDescent="0.25">
      <c r="A341" t="s">
        <v>347</v>
      </c>
      <c r="B341" t="s">
        <v>625</v>
      </c>
      <c r="C341" t="s">
        <v>632</v>
      </c>
      <c r="D341" t="s">
        <v>638</v>
      </c>
      <c r="E341" t="s">
        <v>646</v>
      </c>
      <c r="F341">
        <v>9</v>
      </c>
      <c r="G341">
        <v>6148.71</v>
      </c>
      <c r="H341">
        <v>1454.65</v>
      </c>
    </row>
    <row r="342" spans="1:8" x14ac:dyDescent="0.25">
      <c r="A342" t="s">
        <v>348</v>
      </c>
      <c r="B342" t="s">
        <v>626</v>
      </c>
      <c r="C342" t="s">
        <v>634</v>
      </c>
      <c r="D342" t="s">
        <v>638</v>
      </c>
      <c r="E342" t="s">
        <v>642</v>
      </c>
      <c r="F342">
        <v>7</v>
      </c>
      <c r="G342">
        <v>8850.73</v>
      </c>
      <c r="H342">
        <v>1637.42</v>
      </c>
    </row>
    <row r="343" spans="1:8" x14ac:dyDescent="0.25">
      <c r="A343" t="s">
        <v>349</v>
      </c>
      <c r="B343" t="s">
        <v>627</v>
      </c>
      <c r="C343" t="s">
        <v>632</v>
      </c>
      <c r="D343" t="s">
        <v>638</v>
      </c>
      <c r="E343" t="s">
        <v>643</v>
      </c>
      <c r="F343">
        <v>4</v>
      </c>
      <c r="G343">
        <v>5232.68</v>
      </c>
      <c r="H343">
        <v>717.43</v>
      </c>
    </row>
    <row r="344" spans="1:8" x14ac:dyDescent="0.25">
      <c r="A344" t="s">
        <v>350</v>
      </c>
      <c r="B344" t="s">
        <v>628</v>
      </c>
      <c r="C344" t="s">
        <v>632</v>
      </c>
      <c r="D344" t="s">
        <v>638</v>
      </c>
      <c r="E344" t="s">
        <v>642</v>
      </c>
      <c r="F344">
        <v>6</v>
      </c>
      <c r="G344">
        <v>3474.3</v>
      </c>
      <c r="H344">
        <v>583.66</v>
      </c>
    </row>
    <row r="345" spans="1:8" x14ac:dyDescent="0.25">
      <c r="A345" t="s">
        <v>351</v>
      </c>
      <c r="B345" t="s">
        <v>629</v>
      </c>
      <c r="C345" t="s">
        <v>633</v>
      </c>
      <c r="D345" t="s">
        <v>638</v>
      </c>
      <c r="E345" t="s">
        <v>644</v>
      </c>
      <c r="F345">
        <v>4</v>
      </c>
      <c r="G345">
        <v>2491.84</v>
      </c>
      <c r="H345">
        <v>136.58000000000001</v>
      </c>
    </row>
    <row r="346" spans="1:8" x14ac:dyDescent="0.25">
      <c r="A346" t="s">
        <v>352</v>
      </c>
      <c r="B346" t="s">
        <v>630</v>
      </c>
      <c r="C346" t="s">
        <v>632</v>
      </c>
      <c r="D346" t="s">
        <v>636</v>
      </c>
      <c r="E346" t="s">
        <v>639</v>
      </c>
      <c r="F346">
        <v>7</v>
      </c>
      <c r="G346">
        <v>8562.4699999999993</v>
      </c>
      <c r="H346">
        <v>1843.55</v>
      </c>
    </row>
    <row r="347" spans="1:8" x14ac:dyDescent="0.25">
      <c r="A347" t="s">
        <v>353</v>
      </c>
      <c r="B347" t="s">
        <v>631</v>
      </c>
      <c r="C347" t="s">
        <v>632</v>
      </c>
      <c r="D347" t="s">
        <v>638</v>
      </c>
      <c r="E347" t="s">
        <v>644</v>
      </c>
      <c r="F347">
        <v>8</v>
      </c>
      <c r="G347">
        <v>1309.5999999999999</v>
      </c>
      <c r="H347">
        <v>249.68</v>
      </c>
    </row>
    <row r="348" spans="1:8" x14ac:dyDescent="0.25">
      <c r="A348" t="s">
        <v>354</v>
      </c>
      <c r="B348" t="s">
        <v>465</v>
      </c>
      <c r="C348" t="s">
        <v>633</v>
      </c>
      <c r="D348" t="s">
        <v>638</v>
      </c>
      <c r="E348" t="s">
        <v>644</v>
      </c>
      <c r="F348">
        <v>5</v>
      </c>
      <c r="G348">
        <v>2782.7</v>
      </c>
      <c r="H348">
        <v>189.84</v>
      </c>
    </row>
    <row r="349" spans="1:8" x14ac:dyDescent="0.25">
      <c r="A349" t="s">
        <v>355</v>
      </c>
      <c r="B349" t="s">
        <v>550</v>
      </c>
      <c r="C349" t="s">
        <v>634</v>
      </c>
      <c r="D349" t="s">
        <v>637</v>
      </c>
      <c r="E349" t="s">
        <v>650</v>
      </c>
      <c r="F349">
        <v>6</v>
      </c>
      <c r="G349">
        <v>2566.14</v>
      </c>
      <c r="H349">
        <v>751.56</v>
      </c>
    </row>
    <row r="350" spans="1:8" x14ac:dyDescent="0.25">
      <c r="A350" t="s">
        <v>356</v>
      </c>
      <c r="B350" t="s">
        <v>562</v>
      </c>
      <c r="C350" t="s">
        <v>635</v>
      </c>
      <c r="D350" t="s">
        <v>638</v>
      </c>
      <c r="E350" t="s">
        <v>642</v>
      </c>
      <c r="F350">
        <v>3</v>
      </c>
      <c r="G350">
        <v>424.68</v>
      </c>
      <c r="H350">
        <v>101.35</v>
      </c>
    </row>
    <row r="351" spans="1:8" x14ac:dyDescent="0.25">
      <c r="A351" t="s">
        <v>357</v>
      </c>
      <c r="B351" t="s">
        <v>453</v>
      </c>
      <c r="C351" t="s">
        <v>634</v>
      </c>
      <c r="D351" t="s">
        <v>638</v>
      </c>
      <c r="E351" t="s">
        <v>642</v>
      </c>
      <c r="F351">
        <v>8</v>
      </c>
      <c r="G351">
        <v>219.76</v>
      </c>
      <c r="H351">
        <v>34.159999999999997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EED3-DBFC-48C0-BFA0-EC7CCFC2519B}">
  <dimension ref="A1:M351"/>
  <sheetViews>
    <sheetView topLeftCell="A2" workbookViewId="0">
      <selection activeCell="E12" sqref="E12"/>
    </sheetView>
  </sheetViews>
  <sheetFormatPr defaultRowHeight="15" x14ac:dyDescent="0.25"/>
  <cols>
    <col min="1" max="1" width="10.5703125" customWidth="1"/>
    <col min="2" max="4" width="12.85546875" customWidth="1"/>
    <col min="5" max="5" width="9.28515625" customWidth="1"/>
    <col min="6" max="6" width="11" customWidth="1"/>
    <col min="7" max="7" width="10" customWidth="1"/>
    <col min="8" max="8" width="10.85546875" customWidth="1"/>
  </cols>
  <sheetData>
    <row r="1" spans="1:13" x14ac:dyDescent="0.25">
      <c r="A1" s="6" t="s">
        <v>0</v>
      </c>
      <c r="B1" s="6" t="s">
        <v>658</v>
      </c>
      <c r="C1" s="6" t="s">
        <v>657</v>
      </c>
      <c r="D1" s="6" t="s">
        <v>659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1</v>
      </c>
      <c r="L1" s="7" t="s">
        <v>661</v>
      </c>
      <c r="M1" s="6" t="s">
        <v>660</v>
      </c>
    </row>
    <row r="2" spans="1:13" x14ac:dyDescent="0.25">
      <c r="A2" t="s">
        <v>8</v>
      </c>
      <c r="B2">
        <v>4</v>
      </c>
      <c r="C2">
        <v>15</v>
      </c>
      <c r="D2">
        <v>2023</v>
      </c>
      <c r="E2" t="s">
        <v>632</v>
      </c>
      <c r="F2" t="s">
        <v>636</v>
      </c>
      <c r="G2" t="s">
        <v>639</v>
      </c>
      <c r="H2">
        <v>7</v>
      </c>
      <c r="I2">
        <v>9993.6200000000008</v>
      </c>
      <c r="J2">
        <v>1472.05</v>
      </c>
      <c r="K2" t="str">
        <f>Table1[[#This Row],[Day]]&amp;"/"&amp;Table1[[#This Row],[Month]]&amp;"/"&amp;Table1[[#This Row],[Year]]</f>
        <v>15/4/2023</v>
      </c>
      <c r="L2" t="str">
        <f>TEXT(Table1[[#This Row],[Order Date]],"MMM")</f>
        <v>Apr</v>
      </c>
      <c r="M2">
        <f>YEAR(Table1[[#This Row],[Year]])</f>
        <v>1905</v>
      </c>
    </row>
    <row r="3" spans="1:13" x14ac:dyDescent="0.25">
      <c r="A3" t="s">
        <v>9</v>
      </c>
      <c r="B3">
        <v>11</v>
      </c>
      <c r="C3">
        <v>3</v>
      </c>
      <c r="D3">
        <v>2022</v>
      </c>
      <c r="E3" t="s">
        <v>633</v>
      </c>
      <c r="F3" t="s">
        <v>636</v>
      </c>
      <c r="G3" t="s">
        <v>639</v>
      </c>
      <c r="H3">
        <v>6</v>
      </c>
      <c r="I3">
        <v>8489.16</v>
      </c>
      <c r="J3">
        <v>1311.49</v>
      </c>
      <c r="K3" t="str">
        <f>Table1[[#This Row],[Day]]&amp;"/"&amp;Table1[[#This Row],[Month]]&amp;"/"&amp;Table1[[#This Row],[Year]]</f>
        <v>3/11/2022</v>
      </c>
      <c r="L3" t="str">
        <f>TEXT(Table1[[#This Row],[Order Date]],"MMM")</f>
        <v>Nov</v>
      </c>
      <c r="M3">
        <f>YEAR(Table1[[#This Row],[Year]])</f>
        <v>1905</v>
      </c>
    </row>
    <row r="4" spans="1:13" x14ac:dyDescent="0.25">
      <c r="A4" t="s">
        <v>10</v>
      </c>
      <c r="B4">
        <v>4</v>
      </c>
      <c r="C4">
        <v>26</v>
      </c>
      <c r="D4">
        <v>2022</v>
      </c>
      <c r="E4" t="s">
        <v>633</v>
      </c>
      <c r="F4" t="s">
        <v>637</v>
      </c>
      <c r="G4" t="s">
        <v>640</v>
      </c>
      <c r="H4">
        <v>3</v>
      </c>
      <c r="I4">
        <v>4007.79</v>
      </c>
      <c r="J4">
        <v>993.8</v>
      </c>
      <c r="K4" t="str">
        <f>Table1[[#This Row],[Day]]&amp;"/"&amp;Table1[[#This Row],[Month]]&amp;"/"&amp;Table1[[#This Row],[Year]]</f>
        <v>26/4/2022</v>
      </c>
      <c r="L4" t="str">
        <f>TEXT(Table1[[#This Row],[Order Date]],"MMM")</f>
        <v>Apr</v>
      </c>
      <c r="M4">
        <f>YEAR(Table1[[#This Row],[Year]])</f>
        <v>1905</v>
      </c>
    </row>
    <row r="5" spans="1:13" x14ac:dyDescent="0.25">
      <c r="A5" t="s">
        <v>11</v>
      </c>
      <c r="B5">
        <v>11</v>
      </c>
      <c r="C5">
        <v>11</v>
      </c>
      <c r="D5">
        <v>2022</v>
      </c>
      <c r="E5" t="s">
        <v>634</v>
      </c>
      <c r="F5" t="s">
        <v>637</v>
      </c>
      <c r="G5" t="s">
        <v>640</v>
      </c>
      <c r="H5">
        <v>6</v>
      </c>
      <c r="I5">
        <v>92.4</v>
      </c>
      <c r="J5">
        <v>12.32</v>
      </c>
      <c r="K5" t="str">
        <f>Table1[[#This Row],[Day]]&amp;"/"&amp;Table1[[#This Row],[Month]]&amp;"/"&amp;Table1[[#This Row],[Year]]</f>
        <v>11/11/2022</v>
      </c>
      <c r="L5" t="str">
        <f>TEXT(Table1[[#This Row],[Order Date]],"MMM")</f>
        <v>Nov</v>
      </c>
      <c r="M5">
        <f>YEAR(Table1[[#This Row],[Year]])</f>
        <v>1905</v>
      </c>
    </row>
    <row r="6" spans="1:13" x14ac:dyDescent="0.25">
      <c r="A6" t="s">
        <v>12</v>
      </c>
      <c r="B6">
        <v>5</v>
      </c>
      <c r="C6">
        <v>21</v>
      </c>
      <c r="D6">
        <v>2023</v>
      </c>
      <c r="E6" t="s">
        <v>635</v>
      </c>
      <c r="F6" t="s">
        <v>636</v>
      </c>
      <c r="G6" t="s">
        <v>641</v>
      </c>
      <c r="H6">
        <v>3</v>
      </c>
      <c r="I6">
        <v>2122.59</v>
      </c>
      <c r="J6">
        <v>138.47999999999999</v>
      </c>
      <c r="K6" t="str">
        <f>Table1[[#This Row],[Day]]&amp;"/"&amp;Table1[[#This Row],[Month]]&amp;"/"&amp;Table1[[#This Row],[Year]]</f>
        <v>21/5/2023</v>
      </c>
      <c r="L6" t="str">
        <f>TEXT(Table1[[#This Row],[Order Date]],"MMM")</f>
        <v>May</v>
      </c>
      <c r="M6">
        <f>YEAR(Table1[[#This Row],[Year]])</f>
        <v>1905</v>
      </c>
    </row>
    <row r="7" spans="1:13" x14ac:dyDescent="0.25">
      <c r="A7" t="s">
        <v>13</v>
      </c>
      <c r="B7">
        <v>12</v>
      </c>
      <c r="C7">
        <v>13</v>
      </c>
      <c r="D7">
        <v>2023</v>
      </c>
      <c r="E7" t="s">
        <v>634</v>
      </c>
      <c r="F7" t="s">
        <v>638</v>
      </c>
      <c r="G7" t="s">
        <v>642</v>
      </c>
      <c r="H7">
        <v>7</v>
      </c>
      <c r="I7">
        <v>638.47</v>
      </c>
      <c r="J7">
        <v>71.58</v>
      </c>
      <c r="K7" t="str">
        <f>Table1[[#This Row],[Day]]&amp;"/"&amp;Table1[[#This Row],[Month]]&amp;"/"&amp;Table1[[#This Row],[Year]]</f>
        <v>13/12/2023</v>
      </c>
      <c r="L7" t="str">
        <f>TEXT(Table1[[#This Row],[Order Date]],"MMM")</f>
        <v>Dec</v>
      </c>
      <c r="M7">
        <f>YEAR(Table1[[#This Row],[Year]])</f>
        <v>1905</v>
      </c>
    </row>
    <row r="8" spans="1:13" x14ac:dyDescent="0.25">
      <c r="A8" t="s">
        <v>14</v>
      </c>
      <c r="B8">
        <v>12</v>
      </c>
      <c r="C8">
        <v>19</v>
      </c>
      <c r="D8">
        <v>2023</v>
      </c>
      <c r="E8" t="s">
        <v>634</v>
      </c>
      <c r="F8" t="s">
        <v>638</v>
      </c>
      <c r="G8" t="s">
        <v>643</v>
      </c>
      <c r="H8">
        <v>9</v>
      </c>
      <c r="I8">
        <v>604.79999999999995</v>
      </c>
      <c r="J8">
        <v>56.58</v>
      </c>
      <c r="K8" t="str">
        <f>Table1[[#This Row],[Day]]&amp;"/"&amp;Table1[[#This Row],[Month]]&amp;"/"&amp;Table1[[#This Row],[Year]]</f>
        <v>19/12/2023</v>
      </c>
      <c r="L8" t="str">
        <f>TEXT(Table1[[#This Row],[Order Date]],"MMM")</f>
        <v>Dec</v>
      </c>
      <c r="M8">
        <f>YEAR(Table1[[#This Row],[Year]])</f>
        <v>1905</v>
      </c>
    </row>
    <row r="9" spans="1:13" x14ac:dyDescent="0.25">
      <c r="A9" t="s">
        <v>15</v>
      </c>
      <c r="B9">
        <v>5</v>
      </c>
      <c r="C9">
        <v>17</v>
      </c>
      <c r="D9">
        <v>2022</v>
      </c>
      <c r="E9" t="s">
        <v>634</v>
      </c>
      <c r="F9" t="s">
        <v>638</v>
      </c>
      <c r="G9" t="s">
        <v>644</v>
      </c>
      <c r="H9">
        <v>7</v>
      </c>
      <c r="I9">
        <v>2396.66</v>
      </c>
      <c r="J9">
        <v>150.66</v>
      </c>
      <c r="K9" t="str">
        <f>Table1[[#This Row],[Day]]&amp;"/"&amp;Table1[[#This Row],[Month]]&amp;"/"&amp;Table1[[#This Row],[Year]]</f>
        <v>17/5/2022</v>
      </c>
      <c r="L9" t="str">
        <f>TEXT(Table1[[#This Row],[Order Date]],"MMM")</f>
        <v>May</v>
      </c>
      <c r="M9">
        <f>YEAR(Table1[[#This Row],[Year]])</f>
        <v>1905</v>
      </c>
    </row>
    <row r="10" spans="1:13" x14ac:dyDescent="0.25">
      <c r="A10" t="s">
        <v>16</v>
      </c>
      <c r="B10">
        <v>3</v>
      </c>
      <c r="C10">
        <v>1</v>
      </c>
      <c r="D10">
        <v>2023</v>
      </c>
      <c r="E10" t="s">
        <v>633</v>
      </c>
      <c r="F10" t="s">
        <v>638</v>
      </c>
      <c r="G10" t="s">
        <v>643</v>
      </c>
      <c r="H10">
        <v>3</v>
      </c>
      <c r="I10">
        <v>2725.65</v>
      </c>
      <c r="J10">
        <v>696.8</v>
      </c>
      <c r="K10" t="str">
        <f>Table1[[#This Row],[Day]]&amp;"/"&amp;Table1[[#This Row],[Month]]&amp;"/"&amp;Table1[[#This Row],[Year]]</f>
        <v>1/3/2023</v>
      </c>
      <c r="L10" t="str">
        <f>TEXT(Table1[[#This Row],[Order Date]],"MMM")</f>
        <v>Mar</v>
      </c>
      <c r="M10">
        <f>YEAR(Table1[[#This Row],[Year]])</f>
        <v>1905</v>
      </c>
    </row>
    <row r="11" spans="1:13" x14ac:dyDescent="0.25">
      <c r="A11" t="s">
        <v>17</v>
      </c>
      <c r="B11">
        <v>1</v>
      </c>
      <c r="C11">
        <v>15</v>
      </c>
      <c r="D11">
        <v>2023</v>
      </c>
      <c r="E11" t="s">
        <v>632</v>
      </c>
      <c r="F11" t="s">
        <v>637</v>
      </c>
      <c r="G11" t="s">
        <v>645</v>
      </c>
      <c r="H11">
        <v>9</v>
      </c>
      <c r="I11">
        <v>6337.71</v>
      </c>
      <c r="J11">
        <v>373.46</v>
      </c>
      <c r="K11" t="str">
        <f>Table1[[#This Row],[Day]]&amp;"/"&amp;Table1[[#This Row],[Month]]&amp;"/"&amp;Table1[[#This Row],[Year]]</f>
        <v>15/1/2023</v>
      </c>
      <c r="L11" t="str">
        <f>TEXT(Table1[[#This Row],[Order Date]],"MMM")</f>
        <v>Jan</v>
      </c>
      <c r="M11">
        <f>YEAR(Table1[[#This Row],[Year]])</f>
        <v>1905</v>
      </c>
    </row>
    <row r="12" spans="1:13" x14ac:dyDescent="0.25">
      <c r="A12" t="s">
        <v>18</v>
      </c>
      <c r="B12">
        <v>1</v>
      </c>
      <c r="C12">
        <v>28</v>
      </c>
      <c r="D12">
        <v>2022</v>
      </c>
      <c r="E12" t="s">
        <v>633</v>
      </c>
      <c r="F12" t="s">
        <v>638</v>
      </c>
      <c r="G12" t="s">
        <v>646</v>
      </c>
      <c r="H12">
        <v>8</v>
      </c>
      <c r="I12">
        <v>7168.72</v>
      </c>
      <c r="J12">
        <v>1787.88</v>
      </c>
      <c r="K12" t="str">
        <f>Table1[[#This Row],[Day]]&amp;"/"&amp;Table1[[#This Row],[Month]]&amp;"/"&amp;Table1[[#This Row],[Year]]</f>
        <v>28/1/2022</v>
      </c>
      <c r="L12" t="str">
        <f>TEXT(Table1[[#This Row],[Order Date]],"MMM")</f>
        <v>Jan</v>
      </c>
      <c r="M12">
        <f>YEAR(Table1[[#This Row],[Year]])</f>
        <v>1905</v>
      </c>
    </row>
    <row r="13" spans="1:13" x14ac:dyDescent="0.25">
      <c r="A13" t="s">
        <v>19</v>
      </c>
      <c r="B13">
        <v>11</v>
      </c>
      <c r="C13">
        <v>30</v>
      </c>
      <c r="D13">
        <v>2023</v>
      </c>
      <c r="E13" t="s">
        <v>634</v>
      </c>
      <c r="F13" t="s">
        <v>637</v>
      </c>
      <c r="G13" t="s">
        <v>640</v>
      </c>
      <c r="H13">
        <v>9</v>
      </c>
      <c r="I13">
        <v>7845.57</v>
      </c>
      <c r="J13">
        <v>579.34</v>
      </c>
      <c r="K13" t="str">
        <f>Table1[[#This Row],[Day]]&amp;"/"&amp;Table1[[#This Row],[Month]]&amp;"/"&amp;Table1[[#This Row],[Year]]</f>
        <v>30/11/2023</v>
      </c>
      <c r="L13" t="str">
        <f>TEXT(Table1[[#This Row],[Order Date]],"MMM")</f>
        <v>Nov</v>
      </c>
      <c r="M13">
        <f>YEAR(Table1[[#This Row],[Year]])</f>
        <v>1905</v>
      </c>
    </row>
    <row r="14" spans="1:13" x14ac:dyDescent="0.25">
      <c r="A14" t="s">
        <v>20</v>
      </c>
      <c r="B14">
        <v>6</v>
      </c>
      <c r="C14">
        <v>7</v>
      </c>
      <c r="D14">
        <v>2022</v>
      </c>
      <c r="E14" t="s">
        <v>634</v>
      </c>
      <c r="F14" t="s">
        <v>638</v>
      </c>
      <c r="G14" t="s">
        <v>642</v>
      </c>
      <c r="H14">
        <v>1</v>
      </c>
      <c r="I14">
        <v>397.33</v>
      </c>
      <c r="J14">
        <v>101.56</v>
      </c>
      <c r="K14" t="str">
        <f>Table1[[#This Row],[Day]]&amp;"/"&amp;Table1[[#This Row],[Month]]&amp;"/"&amp;Table1[[#This Row],[Year]]</f>
        <v>7/6/2022</v>
      </c>
      <c r="L14" t="str">
        <f>TEXT(Table1[[#This Row],[Order Date]],"MMM")</f>
        <v>Jun</v>
      </c>
      <c r="M14">
        <f>YEAR(Table1[[#This Row],[Year]])</f>
        <v>1905</v>
      </c>
    </row>
    <row r="15" spans="1:13" x14ac:dyDescent="0.25">
      <c r="A15" t="s">
        <v>21</v>
      </c>
      <c r="B15">
        <v>4</v>
      </c>
      <c r="C15">
        <v>28</v>
      </c>
      <c r="D15">
        <v>2023</v>
      </c>
      <c r="E15" t="s">
        <v>633</v>
      </c>
      <c r="F15" t="s">
        <v>638</v>
      </c>
      <c r="G15" t="s">
        <v>642</v>
      </c>
      <c r="H15">
        <v>4</v>
      </c>
      <c r="I15">
        <v>3073.48</v>
      </c>
      <c r="J15">
        <v>586.37</v>
      </c>
      <c r="K15" t="str">
        <f>Table1[[#This Row],[Day]]&amp;"/"&amp;Table1[[#This Row],[Month]]&amp;"/"&amp;Table1[[#This Row],[Year]]</f>
        <v>28/4/2023</v>
      </c>
      <c r="L15" t="str">
        <f>TEXT(Table1[[#This Row],[Order Date]],"MMM")</f>
        <v>Apr</v>
      </c>
      <c r="M15">
        <f>YEAR(Table1[[#This Row],[Year]])</f>
        <v>1905</v>
      </c>
    </row>
    <row r="16" spans="1:13" x14ac:dyDescent="0.25">
      <c r="A16" t="s">
        <v>22</v>
      </c>
      <c r="B16">
        <v>8</v>
      </c>
      <c r="C16">
        <v>12</v>
      </c>
      <c r="D16">
        <v>2023</v>
      </c>
      <c r="E16" t="s">
        <v>633</v>
      </c>
      <c r="F16" t="s">
        <v>636</v>
      </c>
      <c r="G16" t="s">
        <v>647</v>
      </c>
      <c r="H16">
        <v>2</v>
      </c>
      <c r="I16">
        <v>57.24</v>
      </c>
      <c r="J16">
        <v>4.9800000000000004</v>
      </c>
      <c r="K16" t="str">
        <f>Table1[[#This Row],[Day]]&amp;"/"&amp;Table1[[#This Row],[Month]]&amp;"/"&amp;Table1[[#This Row],[Year]]</f>
        <v>12/8/2023</v>
      </c>
      <c r="L16" t="str">
        <f>TEXT(Table1[[#This Row],[Order Date]],"MMM")</f>
        <v>Aug</v>
      </c>
      <c r="M16">
        <f>YEAR(Table1[[#This Row],[Year]])</f>
        <v>1905</v>
      </c>
    </row>
    <row r="17" spans="1:13" x14ac:dyDescent="0.25">
      <c r="A17" t="s">
        <v>23</v>
      </c>
      <c r="B17">
        <v>2</v>
      </c>
      <c r="C17">
        <v>17</v>
      </c>
      <c r="D17">
        <v>2022</v>
      </c>
      <c r="E17" t="s">
        <v>633</v>
      </c>
      <c r="F17" t="s">
        <v>636</v>
      </c>
      <c r="G17" t="s">
        <v>639</v>
      </c>
      <c r="H17">
        <v>9</v>
      </c>
      <c r="I17">
        <v>2939.22</v>
      </c>
      <c r="J17">
        <v>264.91000000000003</v>
      </c>
      <c r="K17" t="str">
        <f>Table1[[#This Row],[Day]]&amp;"/"&amp;Table1[[#This Row],[Month]]&amp;"/"&amp;Table1[[#This Row],[Year]]</f>
        <v>17/2/2022</v>
      </c>
      <c r="L17" t="str">
        <f>TEXT(Table1[[#This Row],[Order Date]],"MMM")</f>
        <v>Feb</v>
      </c>
      <c r="M17">
        <f>YEAR(Table1[[#This Row],[Year]])</f>
        <v>1905</v>
      </c>
    </row>
    <row r="18" spans="1:13" x14ac:dyDescent="0.25">
      <c r="A18" t="s">
        <v>24</v>
      </c>
      <c r="B18">
        <v>10</v>
      </c>
      <c r="C18">
        <v>7</v>
      </c>
      <c r="D18">
        <v>2023</v>
      </c>
      <c r="E18" t="s">
        <v>632</v>
      </c>
      <c r="F18" t="s">
        <v>637</v>
      </c>
      <c r="G18" t="s">
        <v>640</v>
      </c>
      <c r="H18">
        <v>1</v>
      </c>
      <c r="I18">
        <v>1119.2</v>
      </c>
      <c r="J18">
        <v>67.06</v>
      </c>
      <c r="K18" t="str">
        <f>Table1[[#This Row],[Day]]&amp;"/"&amp;Table1[[#This Row],[Month]]&amp;"/"&amp;Table1[[#This Row],[Year]]</f>
        <v>7/10/2023</v>
      </c>
      <c r="L18" t="str">
        <f>TEXT(Table1[[#This Row],[Order Date]],"MMM")</f>
        <v>Oct</v>
      </c>
      <c r="M18">
        <f>YEAR(Table1[[#This Row],[Year]])</f>
        <v>1905</v>
      </c>
    </row>
    <row r="19" spans="1:13" x14ac:dyDescent="0.25">
      <c r="A19" t="s">
        <v>25</v>
      </c>
      <c r="B19">
        <v>12</v>
      </c>
      <c r="C19">
        <v>8</v>
      </c>
      <c r="D19">
        <v>2023</v>
      </c>
      <c r="E19" t="s">
        <v>633</v>
      </c>
      <c r="F19" t="s">
        <v>636</v>
      </c>
      <c r="G19" t="s">
        <v>641</v>
      </c>
      <c r="H19">
        <v>6</v>
      </c>
      <c r="I19">
        <v>1794.3</v>
      </c>
      <c r="J19">
        <v>431.97</v>
      </c>
      <c r="K19" t="str">
        <f>Table1[[#This Row],[Day]]&amp;"/"&amp;Table1[[#This Row],[Month]]&amp;"/"&amp;Table1[[#This Row],[Year]]</f>
        <v>8/12/2023</v>
      </c>
      <c r="L19" t="str">
        <f>TEXT(Table1[[#This Row],[Order Date]],"MMM")</f>
        <v>Dec</v>
      </c>
      <c r="M19">
        <f>YEAR(Table1[[#This Row],[Year]])</f>
        <v>1905</v>
      </c>
    </row>
    <row r="20" spans="1:13" x14ac:dyDescent="0.25">
      <c r="A20" t="s">
        <v>26</v>
      </c>
      <c r="B20">
        <v>12</v>
      </c>
      <c r="C20">
        <v>7</v>
      </c>
      <c r="D20">
        <v>2023</v>
      </c>
      <c r="E20" t="s">
        <v>633</v>
      </c>
      <c r="F20" t="s">
        <v>636</v>
      </c>
      <c r="G20" t="s">
        <v>639</v>
      </c>
      <c r="H20">
        <v>1</v>
      </c>
      <c r="I20">
        <v>361.9</v>
      </c>
      <c r="J20">
        <v>53.27</v>
      </c>
      <c r="K20" t="str">
        <f>Table1[[#This Row],[Day]]&amp;"/"&amp;Table1[[#This Row],[Month]]&amp;"/"&amp;Table1[[#This Row],[Year]]</f>
        <v>7/12/2023</v>
      </c>
      <c r="L20" t="str">
        <f>TEXT(Table1[[#This Row],[Order Date]],"MMM")</f>
        <v>Dec</v>
      </c>
      <c r="M20">
        <f>YEAR(Table1[[#This Row],[Year]])</f>
        <v>1905</v>
      </c>
    </row>
    <row r="21" spans="1:13" x14ac:dyDescent="0.25">
      <c r="A21" t="s">
        <v>27</v>
      </c>
      <c r="B21">
        <v>4</v>
      </c>
      <c r="C21">
        <v>14</v>
      </c>
      <c r="D21">
        <v>2023</v>
      </c>
      <c r="E21" t="s">
        <v>635</v>
      </c>
      <c r="F21" t="s">
        <v>637</v>
      </c>
      <c r="G21" t="s">
        <v>640</v>
      </c>
      <c r="H21">
        <v>6</v>
      </c>
      <c r="I21">
        <v>1065.5999999999999</v>
      </c>
      <c r="J21">
        <v>166.71</v>
      </c>
      <c r="K21" t="str">
        <f>Table1[[#This Row],[Day]]&amp;"/"&amp;Table1[[#This Row],[Month]]&amp;"/"&amp;Table1[[#This Row],[Year]]</f>
        <v>14/4/2023</v>
      </c>
      <c r="L21" t="str">
        <f>TEXT(Table1[[#This Row],[Order Date]],"MMM")</f>
        <v>Apr</v>
      </c>
      <c r="M21">
        <f>YEAR(Table1[[#This Row],[Year]])</f>
        <v>1905</v>
      </c>
    </row>
    <row r="22" spans="1:13" x14ac:dyDescent="0.25">
      <c r="A22" t="s">
        <v>28</v>
      </c>
      <c r="B22">
        <v>12</v>
      </c>
      <c r="C22">
        <v>2</v>
      </c>
      <c r="D22">
        <v>2023</v>
      </c>
      <c r="E22" t="s">
        <v>633</v>
      </c>
      <c r="F22" t="s">
        <v>638</v>
      </c>
      <c r="G22" t="s">
        <v>642</v>
      </c>
      <c r="H22">
        <v>9</v>
      </c>
      <c r="I22">
        <v>6368.31</v>
      </c>
      <c r="J22">
        <v>999.02</v>
      </c>
      <c r="K22" t="str">
        <f>Table1[[#This Row],[Day]]&amp;"/"&amp;Table1[[#This Row],[Month]]&amp;"/"&amp;Table1[[#This Row],[Year]]</f>
        <v>2/12/2023</v>
      </c>
      <c r="L22" t="str">
        <f>TEXT(Table1[[#This Row],[Order Date]],"MMM")</f>
        <v>Dec</v>
      </c>
      <c r="M22">
        <f>YEAR(Table1[[#This Row],[Year]])</f>
        <v>1905</v>
      </c>
    </row>
    <row r="23" spans="1:13" x14ac:dyDescent="0.25">
      <c r="A23" t="s">
        <v>29</v>
      </c>
      <c r="B23">
        <v>7</v>
      </c>
      <c r="C23">
        <v>6</v>
      </c>
      <c r="D23">
        <v>2022</v>
      </c>
      <c r="E23" t="s">
        <v>633</v>
      </c>
      <c r="F23" t="s">
        <v>638</v>
      </c>
      <c r="G23" t="s">
        <v>646</v>
      </c>
      <c r="H23">
        <v>6</v>
      </c>
      <c r="I23">
        <v>6682.92</v>
      </c>
      <c r="J23">
        <v>1552.08</v>
      </c>
      <c r="K23" t="str">
        <f>Table1[[#This Row],[Day]]&amp;"/"&amp;Table1[[#This Row],[Month]]&amp;"/"&amp;Table1[[#This Row],[Year]]</f>
        <v>6/7/2022</v>
      </c>
      <c r="L23" t="str">
        <f>TEXT(Table1[[#This Row],[Order Date]],"MMM")</f>
        <v>Jul</v>
      </c>
      <c r="M23">
        <f>YEAR(Table1[[#This Row],[Year]])</f>
        <v>1905</v>
      </c>
    </row>
    <row r="24" spans="1:13" x14ac:dyDescent="0.25">
      <c r="A24" t="s">
        <v>30</v>
      </c>
      <c r="B24">
        <v>10</v>
      </c>
      <c r="C24">
        <v>24</v>
      </c>
      <c r="D24">
        <v>2022</v>
      </c>
      <c r="E24" t="s">
        <v>632</v>
      </c>
      <c r="F24" t="s">
        <v>638</v>
      </c>
      <c r="G24" t="s">
        <v>646</v>
      </c>
      <c r="H24">
        <v>1</v>
      </c>
      <c r="I24">
        <v>773.68</v>
      </c>
      <c r="J24">
        <v>66.010000000000005</v>
      </c>
      <c r="K24" t="str">
        <f>Table1[[#This Row],[Day]]&amp;"/"&amp;Table1[[#This Row],[Month]]&amp;"/"&amp;Table1[[#This Row],[Year]]</f>
        <v>24/10/2022</v>
      </c>
      <c r="L24" t="str">
        <f>TEXT(Table1[[#This Row],[Order Date]],"MMM")</f>
        <v>Oct</v>
      </c>
      <c r="M24">
        <f>YEAR(Table1[[#This Row],[Year]])</f>
        <v>1905</v>
      </c>
    </row>
    <row r="25" spans="1:13" x14ac:dyDescent="0.25">
      <c r="A25" t="s">
        <v>31</v>
      </c>
      <c r="B25">
        <v>6</v>
      </c>
      <c r="C25">
        <v>29</v>
      </c>
      <c r="D25">
        <v>2022</v>
      </c>
      <c r="E25" t="s">
        <v>633</v>
      </c>
      <c r="F25" t="s">
        <v>638</v>
      </c>
      <c r="G25" t="s">
        <v>643</v>
      </c>
      <c r="H25">
        <v>7</v>
      </c>
      <c r="I25">
        <v>9491.86</v>
      </c>
      <c r="J25">
        <v>1543.2</v>
      </c>
      <c r="K25" t="str">
        <f>Table1[[#This Row],[Day]]&amp;"/"&amp;Table1[[#This Row],[Month]]&amp;"/"&amp;Table1[[#This Row],[Year]]</f>
        <v>29/6/2022</v>
      </c>
      <c r="L25" t="str">
        <f>TEXT(Table1[[#This Row],[Order Date]],"MMM")</f>
        <v>Jun</v>
      </c>
      <c r="M25">
        <f>YEAR(Table1[[#This Row],[Year]])</f>
        <v>1905</v>
      </c>
    </row>
    <row r="26" spans="1:13" x14ac:dyDescent="0.25">
      <c r="A26" t="s">
        <v>32</v>
      </c>
      <c r="B26">
        <v>1</v>
      </c>
      <c r="C26">
        <v>31</v>
      </c>
      <c r="D26">
        <v>2022</v>
      </c>
      <c r="E26" t="s">
        <v>635</v>
      </c>
      <c r="F26" t="s">
        <v>637</v>
      </c>
      <c r="G26" t="s">
        <v>640</v>
      </c>
      <c r="H26">
        <v>6</v>
      </c>
      <c r="I26">
        <v>5969.46</v>
      </c>
      <c r="J26">
        <v>1591.75</v>
      </c>
      <c r="K26" t="str">
        <f>Table1[[#This Row],[Day]]&amp;"/"&amp;Table1[[#This Row],[Month]]&amp;"/"&amp;Table1[[#This Row],[Year]]</f>
        <v>31/1/2022</v>
      </c>
      <c r="L26" t="str">
        <f>TEXT(Table1[[#This Row],[Order Date]],"MMM")</f>
        <v>Jan</v>
      </c>
      <c r="M26">
        <f>YEAR(Table1[[#This Row],[Year]])</f>
        <v>1905</v>
      </c>
    </row>
    <row r="27" spans="1:13" x14ac:dyDescent="0.25">
      <c r="A27" t="s">
        <v>33</v>
      </c>
      <c r="B27">
        <v>7</v>
      </c>
      <c r="C27">
        <v>20</v>
      </c>
      <c r="D27">
        <v>2023</v>
      </c>
      <c r="E27" t="s">
        <v>635</v>
      </c>
      <c r="F27" t="s">
        <v>636</v>
      </c>
      <c r="G27" t="s">
        <v>639</v>
      </c>
      <c r="H27">
        <v>7</v>
      </c>
      <c r="I27">
        <v>457.8</v>
      </c>
      <c r="J27">
        <v>127.47</v>
      </c>
      <c r="K27" t="str">
        <f>Table1[[#This Row],[Day]]&amp;"/"&amp;Table1[[#This Row],[Month]]&amp;"/"&amp;Table1[[#This Row],[Year]]</f>
        <v>20/7/2023</v>
      </c>
      <c r="L27" t="str">
        <f>TEXT(Table1[[#This Row],[Order Date]],"MMM")</f>
        <v>Jul</v>
      </c>
      <c r="M27">
        <f>YEAR(Table1[[#This Row],[Year]])</f>
        <v>1905</v>
      </c>
    </row>
    <row r="28" spans="1:13" x14ac:dyDescent="0.25">
      <c r="A28" t="s">
        <v>34</v>
      </c>
      <c r="B28">
        <v>1</v>
      </c>
      <c r="C28">
        <v>6</v>
      </c>
      <c r="D28">
        <v>2022</v>
      </c>
      <c r="E28" t="s">
        <v>632</v>
      </c>
      <c r="F28" t="s">
        <v>638</v>
      </c>
      <c r="G28" t="s">
        <v>643</v>
      </c>
      <c r="H28">
        <v>8</v>
      </c>
      <c r="I28">
        <v>1065.2</v>
      </c>
      <c r="J28">
        <v>186.95</v>
      </c>
      <c r="K28" t="str">
        <f>Table1[[#This Row],[Day]]&amp;"/"&amp;Table1[[#This Row],[Month]]&amp;"/"&amp;Table1[[#This Row],[Year]]</f>
        <v>6/1/2022</v>
      </c>
      <c r="L28" t="str">
        <f>TEXT(Table1[[#This Row],[Order Date]],"MMM")</f>
        <v>Jan</v>
      </c>
      <c r="M28">
        <f>YEAR(Table1[[#This Row],[Year]])</f>
        <v>1905</v>
      </c>
    </row>
    <row r="29" spans="1:13" x14ac:dyDescent="0.25">
      <c r="A29" t="s">
        <v>35</v>
      </c>
      <c r="B29">
        <v>4</v>
      </c>
      <c r="C29">
        <v>14</v>
      </c>
      <c r="D29">
        <v>2022</v>
      </c>
      <c r="E29" t="s">
        <v>635</v>
      </c>
      <c r="F29" t="s">
        <v>636</v>
      </c>
      <c r="G29" t="s">
        <v>641</v>
      </c>
      <c r="H29">
        <v>8</v>
      </c>
      <c r="I29">
        <v>2883.36</v>
      </c>
      <c r="J29">
        <v>434.46</v>
      </c>
      <c r="K29" t="str">
        <f>Table1[[#This Row],[Day]]&amp;"/"&amp;Table1[[#This Row],[Month]]&amp;"/"&amp;Table1[[#This Row],[Year]]</f>
        <v>14/4/2022</v>
      </c>
      <c r="L29" t="str">
        <f>TEXT(Table1[[#This Row],[Order Date]],"MMM")</f>
        <v>Apr</v>
      </c>
      <c r="M29">
        <f>YEAR(Table1[[#This Row],[Year]])</f>
        <v>1905</v>
      </c>
    </row>
    <row r="30" spans="1:13" x14ac:dyDescent="0.25">
      <c r="A30" t="s">
        <v>36</v>
      </c>
      <c r="B30">
        <v>2</v>
      </c>
      <c r="C30">
        <v>6</v>
      </c>
      <c r="D30">
        <v>2022</v>
      </c>
      <c r="E30" t="s">
        <v>632</v>
      </c>
      <c r="F30" t="s">
        <v>638</v>
      </c>
      <c r="G30" t="s">
        <v>644</v>
      </c>
      <c r="H30">
        <v>3</v>
      </c>
      <c r="I30">
        <v>210.57</v>
      </c>
      <c r="J30">
        <v>17.32</v>
      </c>
      <c r="K30" t="str">
        <f>Table1[[#This Row],[Day]]&amp;"/"&amp;Table1[[#This Row],[Month]]&amp;"/"&amp;Table1[[#This Row],[Year]]</f>
        <v>6/2/2022</v>
      </c>
      <c r="L30" t="str">
        <f>TEXT(Table1[[#This Row],[Order Date]],"MMM")</f>
        <v>Feb</v>
      </c>
      <c r="M30">
        <f>YEAR(Table1[[#This Row],[Year]])</f>
        <v>1905</v>
      </c>
    </row>
    <row r="31" spans="1:13" x14ac:dyDescent="0.25">
      <c r="A31" t="s">
        <v>37</v>
      </c>
      <c r="B31">
        <v>10</v>
      </c>
      <c r="C31">
        <v>22</v>
      </c>
      <c r="D31">
        <v>2022</v>
      </c>
      <c r="E31" t="s">
        <v>634</v>
      </c>
      <c r="F31" t="s">
        <v>637</v>
      </c>
      <c r="G31" t="s">
        <v>640</v>
      </c>
      <c r="H31">
        <v>7</v>
      </c>
      <c r="I31">
        <v>10140.969999999999</v>
      </c>
      <c r="J31">
        <v>2601.46</v>
      </c>
      <c r="K31" t="str">
        <f>Table1[[#This Row],[Day]]&amp;"/"&amp;Table1[[#This Row],[Month]]&amp;"/"&amp;Table1[[#This Row],[Year]]</f>
        <v>22/10/2022</v>
      </c>
      <c r="L31" t="str">
        <f>TEXT(Table1[[#This Row],[Order Date]],"MMM")</f>
        <v>Oct</v>
      </c>
      <c r="M31">
        <f>YEAR(Table1[[#This Row],[Year]])</f>
        <v>1905</v>
      </c>
    </row>
    <row r="32" spans="1:13" x14ac:dyDescent="0.25">
      <c r="A32" t="s">
        <v>38</v>
      </c>
      <c r="B32">
        <v>7</v>
      </c>
      <c r="C32">
        <v>2</v>
      </c>
      <c r="D32">
        <v>2023</v>
      </c>
      <c r="E32" t="s">
        <v>632</v>
      </c>
      <c r="F32" t="s">
        <v>637</v>
      </c>
      <c r="G32" t="s">
        <v>640</v>
      </c>
      <c r="H32">
        <v>3</v>
      </c>
      <c r="I32">
        <v>3183.93</v>
      </c>
      <c r="J32">
        <v>264.7</v>
      </c>
      <c r="K32" t="str">
        <f>Table1[[#This Row],[Day]]&amp;"/"&amp;Table1[[#This Row],[Month]]&amp;"/"&amp;Table1[[#This Row],[Year]]</f>
        <v>2/7/2023</v>
      </c>
      <c r="L32" t="str">
        <f>TEXT(Table1[[#This Row],[Order Date]],"MMM")</f>
        <v>Jul</v>
      </c>
      <c r="M32">
        <f>YEAR(Table1[[#This Row],[Year]])</f>
        <v>1905</v>
      </c>
    </row>
    <row r="33" spans="1:13" x14ac:dyDescent="0.25">
      <c r="A33" t="s">
        <v>39</v>
      </c>
      <c r="B33">
        <v>12</v>
      </c>
      <c r="C33">
        <v>23</v>
      </c>
      <c r="D33">
        <v>2023</v>
      </c>
      <c r="E33" t="s">
        <v>635</v>
      </c>
      <c r="F33" t="s">
        <v>636</v>
      </c>
      <c r="G33" t="s">
        <v>647</v>
      </c>
      <c r="H33">
        <v>7</v>
      </c>
      <c r="I33">
        <v>8938.44</v>
      </c>
      <c r="J33">
        <v>2594.62</v>
      </c>
      <c r="K33" t="str">
        <f>Table1[[#This Row],[Day]]&amp;"/"&amp;Table1[[#This Row],[Month]]&amp;"/"&amp;Table1[[#This Row],[Year]]</f>
        <v>23/12/2023</v>
      </c>
      <c r="L33" t="str">
        <f>TEXT(Table1[[#This Row],[Order Date]],"MMM")</f>
        <v>Dec</v>
      </c>
      <c r="M33">
        <f>YEAR(Table1[[#This Row],[Year]])</f>
        <v>1905</v>
      </c>
    </row>
    <row r="34" spans="1:13" x14ac:dyDescent="0.25">
      <c r="A34" t="s">
        <v>40</v>
      </c>
      <c r="B34">
        <v>10</v>
      </c>
      <c r="C34">
        <v>25</v>
      </c>
      <c r="D34">
        <v>2022</v>
      </c>
      <c r="E34" t="s">
        <v>633</v>
      </c>
      <c r="F34" t="s">
        <v>636</v>
      </c>
      <c r="G34" t="s">
        <v>639</v>
      </c>
      <c r="H34">
        <v>3</v>
      </c>
      <c r="I34">
        <v>1661.64</v>
      </c>
      <c r="J34">
        <v>107.47</v>
      </c>
      <c r="K34" t="str">
        <f>Table1[[#This Row],[Day]]&amp;"/"&amp;Table1[[#This Row],[Month]]&amp;"/"&amp;Table1[[#This Row],[Year]]</f>
        <v>25/10/2022</v>
      </c>
      <c r="L34" t="str">
        <f>TEXT(Table1[[#This Row],[Order Date]],"MMM")</f>
        <v>Oct</v>
      </c>
      <c r="M34">
        <f>YEAR(Table1[[#This Row],[Year]])</f>
        <v>1905</v>
      </c>
    </row>
    <row r="35" spans="1:13" x14ac:dyDescent="0.25">
      <c r="A35" t="s">
        <v>41</v>
      </c>
      <c r="B35">
        <v>8</v>
      </c>
      <c r="C35">
        <v>29</v>
      </c>
      <c r="D35">
        <v>2022</v>
      </c>
      <c r="E35" t="s">
        <v>633</v>
      </c>
      <c r="F35" t="s">
        <v>636</v>
      </c>
      <c r="G35" t="s">
        <v>641</v>
      </c>
      <c r="H35">
        <v>7</v>
      </c>
      <c r="I35">
        <v>7794.43</v>
      </c>
      <c r="J35">
        <v>1288.68</v>
      </c>
      <c r="K35" t="str">
        <f>Table1[[#This Row],[Day]]&amp;"/"&amp;Table1[[#This Row],[Month]]&amp;"/"&amp;Table1[[#This Row],[Year]]</f>
        <v>29/8/2022</v>
      </c>
      <c r="L35" t="str">
        <f>TEXT(Table1[[#This Row],[Order Date]],"MMM")</f>
        <v>Aug</v>
      </c>
      <c r="M35">
        <f>YEAR(Table1[[#This Row],[Year]])</f>
        <v>1905</v>
      </c>
    </row>
    <row r="36" spans="1:13" x14ac:dyDescent="0.25">
      <c r="A36" t="s">
        <v>42</v>
      </c>
      <c r="B36">
        <v>1</v>
      </c>
      <c r="C36">
        <v>2</v>
      </c>
      <c r="D36">
        <v>2022</v>
      </c>
      <c r="E36" t="s">
        <v>633</v>
      </c>
      <c r="F36" t="s">
        <v>636</v>
      </c>
      <c r="G36" t="s">
        <v>641</v>
      </c>
      <c r="H36">
        <v>3</v>
      </c>
      <c r="I36">
        <v>2204.25</v>
      </c>
      <c r="J36">
        <v>653.41</v>
      </c>
      <c r="K36" t="str">
        <f>Table1[[#This Row],[Day]]&amp;"/"&amp;Table1[[#This Row],[Month]]&amp;"/"&amp;Table1[[#This Row],[Year]]</f>
        <v>2/1/2022</v>
      </c>
      <c r="L36" t="str">
        <f>TEXT(Table1[[#This Row],[Order Date]],"MMM")</f>
        <v>Jan</v>
      </c>
      <c r="M36">
        <f>YEAR(Table1[[#This Row],[Year]])</f>
        <v>1905</v>
      </c>
    </row>
    <row r="37" spans="1:13" x14ac:dyDescent="0.25">
      <c r="A37" t="s">
        <v>43</v>
      </c>
      <c r="B37">
        <v>9</v>
      </c>
      <c r="C37">
        <v>12</v>
      </c>
      <c r="D37">
        <v>2022</v>
      </c>
      <c r="E37" t="s">
        <v>635</v>
      </c>
      <c r="F37" t="s">
        <v>637</v>
      </c>
      <c r="G37" t="s">
        <v>640</v>
      </c>
      <c r="H37">
        <v>7</v>
      </c>
      <c r="I37">
        <v>4718.7700000000004</v>
      </c>
      <c r="J37">
        <v>767.98</v>
      </c>
      <c r="K37" t="str">
        <f>Table1[[#This Row],[Day]]&amp;"/"&amp;Table1[[#This Row],[Month]]&amp;"/"&amp;Table1[[#This Row],[Year]]</f>
        <v>12/9/2022</v>
      </c>
      <c r="L37" t="str">
        <f>TEXT(Table1[[#This Row],[Order Date]],"MMM")</f>
        <v>Sep</v>
      </c>
      <c r="M37">
        <f>YEAR(Table1[[#This Row],[Year]])</f>
        <v>1905</v>
      </c>
    </row>
    <row r="38" spans="1:13" x14ac:dyDescent="0.25">
      <c r="A38" t="s">
        <v>44</v>
      </c>
      <c r="B38">
        <v>12</v>
      </c>
      <c r="C38">
        <v>18</v>
      </c>
      <c r="D38">
        <v>2022</v>
      </c>
      <c r="E38" t="s">
        <v>633</v>
      </c>
      <c r="F38" t="s">
        <v>636</v>
      </c>
      <c r="G38" t="s">
        <v>641</v>
      </c>
      <c r="H38">
        <v>2</v>
      </c>
      <c r="I38">
        <v>881.78</v>
      </c>
      <c r="J38">
        <v>117.42</v>
      </c>
      <c r="K38" t="str">
        <f>Table1[[#This Row],[Day]]&amp;"/"&amp;Table1[[#This Row],[Month]]&amp;"/"&amp;Table1[[#This Row],[Year]]</f>
        <v>18/12/2022</v>
      </c>
      <c r="L38" t="str">
        <f>TEXT(Table1[[#This Row],[Order Date]],"MMM")</f>
        <v>Dec</v>
      </c>
      <c r="M38">
        <f>YEAR(Table1[[#This Row],[Year]])</f>
        <v>1905</v>
      </c>
    </row>
    <row r="39" spans="1:13" x14ac:dyDescent="0.25">
      <c r="A39" t="s">
        <v>45</v>
      </c>
      <c r="B39">
        <v>1</v>
      </c>
      <c r="C39">
        <v>20</v>
      </c>
      <c r="D39">
        <v>2022</v>
      </c>
      <c r="E39" t="s">
        <v>632</v>
      </c>
      <c r="F39" t="s">
        <v>636</v>
      </c>
      <c r="G39" t="s">
        <v>648</v>
      </c>
      <c r="H39">
        <v>2</v>
      </c>
      <c r="I39">
        <v>1204.96</v>
      </c>
      <c r="J39">
        <v>309.61</v>
      </c>
      <c r="K39" t="str">
        <f>Table1[[#This Row],[Day]]&amp;"/"&amp;Table1[[#This Row],[Month]]&amp;"/"&amp;Table1[[#This Row],[Year]]</f>
        <v>20/1/2022</v>
      </c>
      <c r="L39" t="str">
        <f>TEXT(Table1[[#This Row],[Order Date]],"MMM")</f>
        <v>Jan</v>
      </c>
      <c r="M39">
        <f>YEAR(Table1[[#This Row],[Year]])</f>
        <v>1905</v>
      </c>
    </row>
    <row r="40" spans="1:13" x14ac:dyDescent="0.25">
      <c r="A40" t="s">
        <v>46</v>
      </c>
      <c r="B40">
        <v>5</v>
      </c>
      <c r="C40">
        <v>6</v>
      </c>
      <c r="D40">
        <v>2022</v>
      </c>
      <c r="E40" t="s">
        <v>633</v>
      </c>
      <c r="F40" t="s">
        <v>636</v>
      </c>
      <c r="G40" t="s">
        <v>647</v>
      </c>
      <c r="H40">
        <v>7</v>
      </c>
      <c r="I40">
        <v>855.68</v>
      </c>
      <c r="J40">
        <v>131.38</v>
      </c>
      <c r="K40" t="str">
        <f>Table1[[#This Row],[Day]]&amp;"/"&amp;Table1[[#This Row],[Month]]&amp;"/"&amp;Table1[[#This Row],[Year]]</f>
        <v>6/5/2022</v>
      </c>
      <c r="L40" t="str">
        <f>TEXT(Table1[[#This Row],[Order Date]],"MMM")</f>
        <v>May</v>
      </c>
      <c r="M40">
        <f>YEAR(Table1[[#This Row],[Year]])</f>
        <v>1905</v>
      </c>
    </row>
    <row r="41" spans="1:13" x14ac:dyDescent="0.25">
      <c r="A41" t="s">
        <v>47</v>
      </c>
      <c r="B41">
        <v>11</v>
      </c>
      <c r="C41">
        <v>15</v>
      </c>
      <c r="D41">
        <v>2022</v>
      </c>
      <c r="E41" t="s">
        <v>635</v>
      </c>
      <c r="F41" t="s">
        <v>637</v>
      </c>
      <c r="G41" t="s">
        <v>640</v>
      </c>
      <c r="H41">
        <v>4</v>
      </c>
      <c r="I41">
        <v>4188.12</v>
      </c>
      <c r="J41">
        <v>914.55</v>
      </c>
      <c r="K41" t="str">
        <f>Table1[[#This Row],[Day]]&amp;"/"&amp;Table1[[#This Row],[Month]]&amp;"/"&amp;Table1[[#This Row],[Year]]</f>
        <v>15/11/2022</v>
      </c>
      <c r="L41" t="str">
        <f>TEXT(Table1[[#This Row],[Order Date]],"MMM")</f>
        <v>Nov</v>
      </c>
      <c r="M41">
        <f>YEAR(Table1[[#This Row],[Year]])</f>
        <v>1905</v>
      </c>
    </row>
    <row r="42" spans="1:13" x14ac:dyDescent="0.25">
      <c r="A42" t="s">
        <v>48</v>
      </c>
      <c r="B42">
        <v>7</v>
      </c>
      <c r="C42">
        <v>26</v>
      </c>
      <c r="D42">
        <v>2022</v>
      </c>
      <c r="E42" t="s">
        <v>634</v>
      </c>
      <c r="F42" t="s">
        <v>638</v>
      </c>
      <c r="G42" t="s">
        <v>642</v>
      </c>
      <c r="H42">
        <v>5</v>
      </c>
      <c r="I42">
        <v>4301.05</v>
      </c>
      <c r="J42">
        <v>585.29999999999995</v>
      </c>
      <c r="K42" t="str">
        <f>Table1[[#This Row],[Day]]&amp;"/"&amp;Table1[[#This Row],[Month]]&amp;"/"&amp;Table1[[#This Row],[Year]]</f>
        <v>26/7/2022</v>
      </c>
      <c r="L42" t="str">
        <f>TEXT(Table1[[#This Row],[Order Date]],"MMM")</f>
        <v>Jul</v>
      </c>
      <c r="M42">
        <f>YEAR(Table1[[#This Row],[Year]])</f>
        <v>1905</v>
      </c>
    </row>
    <row r="43" spans="1:13" x14ac:dyDescent="0.25">
      <c r="A43" t="s">
        <v>49</v>
      </c>
      <c r="B43">
        <v>2</v>
      </c>
      <c r="C43">
        <v>24</v>
      </c>
      <c r="D43">
        <v>2023</v>
      </c>
      <c r="E43" t="s">
        <v>635</v>
      </c>
      <c r="F43" t="s">
        <v>636</v>
      </c>
      <c r="G43" t="s">
        <v>647</v>
      </c>
      <c r="H43">
        <v>7</v>
      </c>
      <c r="I43">
        <v>9656.08</v>
      </c>
      <c r="J43">
        <v>1459.32</v>
      </c>
      <c r="K43" t="str">
        <f>Table1[[#This Row],[Day]]&amp;"/"&amp;Table1[[#This Row],[Month]]&amp;"/"&amp;Table1[[#This Row],[Year]]</f>
        <v>24/2/2023</v>
      </c>
      <c r="L43" t="str">
        <f>TEXT(Table1[[#This Row],[Order Date]],"MMM")</f>
        <v>Feb</v>
      </c>
      <c r="M43">
        <f>YEAR(Table1[[#This Row],[Year]])</f>
        <v>1905</v>
      </c>
    </row>
    <row r="44" spans="1:13" x14ac:dyDescent="0.25">
      <c r="A44" t="s">
        <v>50</v>
      </c>
      <c r="B44">
        <v>6</v>
      </c>
      <c r="C44">
        <v>9</v>
      </c>
      <c r="D44">
        <v>2023</v>
      </c>
      <c r="E44" t="s">
        <v>632</v>
      </c>
      <c r="F44" t="s">
        <v>636</v>
      </c>
      <c r="G44" t="s">
        <v>647</v>
      </c>
      <c r="H44">
        <v>2</v>
      </c>
      <c r="I44">
        <v>1266.42</v>
      </c>
      <c r="J44">
        <v>73.83</v>
      </c>
      <c r="K44" t="str">
        <f>Table1[[#This Row],[Day]]&amp;"/"&amp;Table1[[#This Row],[Month]]&amp;"/"&amp;Table1[[#This Row],[Year]]</f>
        <v>9/6/2023</v>
      </c>
      <c r="L44" t="str">
        <f>TEXT(Table1[[#This Row],[Order Date]],"MMM")</f>
        <v>Jun</v>
      </c>
      <c r="M44">
        <f>YEAR(Table1[[#This Row],[Year]])</f>
        <v>1905</v>
      </c>
    </row>
    <row r="45" spans="1:13" x14ac:dyDescent="0.25">
      <c r="A45" t="s">
        <v>51</v>
      </c>
      <c r="B45">
        <v>7</v>
      </c>
      <c r="C45">
        <v>2</v>
      </c>
      <c r="D45">
        <v>2022</v>
      </c>
      <c r="E45" t="s">
        <v>634</v>
      </c>
      <c r="F45" t="s">
        <v>638</v>
      </c>
      <c r="G45" t="s">
        <v>644</v>
      </c>
      <c r="H45">
        <v>1</v>
      </c>
      <c r="I45">
        <v>630.19000000000005</v>
      </c>
      <c r="J45">
        <v>78.31</v>
      </c>
      <c r="K45" t="str">
        <f>Table1[[#This Row],[Day]]&amp;"/"&amp;Table1[[#This Row],[Month]]&amp;"/"&amp;Table1[[#This Row],[Year]]</f>
        <v>2/7/2022</v>
      </c>
      <c r="L45" t="str">
        <f>TEXT(Table1[[#This Row],[Order Date]],"MMM")</f>
        <v>Jul</v>
      </c>
      <c r="M45">
        <f>YEAR(Table1[[#This Row],[Year]])</f>
        <v>1905</v>
      </c>
    </row>
    <row r="46" spans="1:13" x14ac:dyDescent="0.25">
      <c r="A46" t="s">
        <v>52</v>
      </c>
      <c r="B46">
        <v>12</v>
      </c>
      <c r="C46">
        <v>18</v>
      </c>
      <c r="D46">
        <v>2023</v>
      </c>
      <c r="E46" t="s">
        <v>634</v>
      </c>
      <c r="F46" t="s">
        <v>636</v>
      </c>
      <c r="G46" t="s">
        <v>647</v>
      </c>
      <c r="H46">
        <v>2</v>
      </c>
      <c r="I46">
        <v>2499.38</v>
      </c>
      <c r="J46">
        <v>317.33</v>
      </c>
      <c r="K46" t="str">
        <f>Table1[[#This Row],[Day]]&amp;"/"&amp;Table1[[#This Row],[Month]]&amp;"/"&amp;Table1[[#This Row],[Year]]</f>
        <v>18/12/2023</v>
      </c>
      <c r="L46" t="str">
        <f>TEXT(Table1[[#This Row],[Order Date]],"MMM")</f>
        <v>Dec</v>
      </c>
      <c r="M46">
        <f>YEAR(Table1[[#This Row],[Year]])</f>
        <v>1905</v>
      </c>
    </row>
    <row r="47" spans="1:13" x14ac:dyDescent="0.25">
      <c r="A47" t="s">
        <v>53</v>
      </c>
      <c r="B47">
        <v>7</v>
      </c>
      <c r="C47">
        <v>12</v>
      </c>
      <c r="D47">
        <v>2022</v>
      </c>
      <c r="E47" t="s">
        <v>634</v>
      </c>
      <c r="F47" t="s">
        <v>638</v>
      </c>
      <c r="G47" t="s">
        <v>643</v>
      </c>
      <c r="H47">
        <v>4</v>
      </c>
      <c r="I47">
        <v>5623.4</v>
      </c>
      <c r="J47">
        <v>1233.6099999999999</v>
      </c>
      <c r="K47" t="str">
        <f>Table1[[#This Row],[Day]]&amp;"/"&amp;Table1[[#This Row],[Month]]&amp;"/"&amp;Table1[[#This Row],[Year]]</f>
        <v>12/7/2022</v>
      </c>
      <c r="L47" t="str">
        <f>TEXT(Table1[[#This Row],[Order Date]],"MMM")</f>
        <v>Jul</v>
      </c>
      <c r="M47">
        <f>YEAR(Table1[[#This Row],[Year]])</f>
        <v>1905</v>
      </c>
    </row>
    <row r="48" spans="1:13" x14ac:dyDescent="0.25">
      <c r="A48" t="s">
        <v>54</v>
      </c>
      <c r="B48">
        <v>3</v>
      </c>
      <c r="C48">
        <v>31</v>
      </c>
      <c r="D48">
        <v>2023</v>
      </c>
      <c r="E48" t="s">
        <v>633</v>
      </c>
      <c r="F48" t="s">
        <v>636</v>
      </c>
      <c r="G48" t="s">
        <v>648</v>
      </c>
      <c r="H48">
        <v>1</v>
      </c>
      <c r="I48">
        <v>167.61</v>
      </c>
      <c r="J48">
        <v>36.01</v>
      </c>
      <c r="K48" t="str">
        <f>Table1[[#This Row],[Day]]&amp;"/"&amp;Table1[[#This Row],[Month]]&amp;"/"&amp;Table1[[#This Row],[Year]]</f>
        <v>31/3/2023</v>
      </c>
      <c r="L48" t="str">
        <f>TEXT(Table1[[#This Row],[Order Date]],"MMM")</f>
        <v>Mar</v>
      </c>
      <c r="M48">
        <f>YEAR(Table1[[#This Row],[Year]])</f>
        <v>1905</v>
      </c>
    </row>
    <row r="49" spans="1:13" x14ac:dyDescent="0.25">
      <c r="A49" t="s">
        <v>55</v>
      </c>
      <c r="B49">
        <v>8</v>
      </c>
      <c r="C49">
        <v>7</v>
      </c>
      <c r="D49">
        <v>2023</v>
      </c>
      <c r="E49" t="s">
        <v>635</v>
      </c>
      <c r="F49" t="s">
        <v>637</v>
      </c>
      <c r="G49" t="s">
        <v>649</v>
      </c>
      <c r="H49">
        <v>8</v>
      </c>
      <c r="I49">
        <v>8869.2000000000007</v>
      </c>
      <c r="J49">
        <v>1397.95</v>
      </c>
      <c r="K49" t="str">
        <f>Table1[[#This Row],[Day]]&amp;"/"&amp;Table1[[#This Row],[Month]]&amp;"/"&amp;Table1[[#This Row],[Year]]</f>
        <v>7/8/2023</v>
      </c>
      <c r="L49" t="str">
        <f>TEXT(Table1[[#This Row],[Order Date]],"MMM")</f>
        <v>Aug</v>
      </c>
      <c r="M49">
        <f>YEAR(Table1[[#This Row],[Year]])</f>
        <v>1905</v>
      </c>
    </row>
    <row r="50" spans="1:13" x14ac:dyDescent="0.25">
      <c r="A50" t="s">
        <v>56</v>
      </c>
      <c r="B50">
        <v>4</v>
      </c>
      <c r="C50">
        <v>30</v>
      </c>
      <c r="D50">
        <v>2022</v>
      </c>
      <c r="E50" t="s">
        <v>635</v>
      </c>
      <c r="F50" t="s">
        <v>638</v>
      </c>
      <c r="G50" t="s">
        <v>643</v>
      </c>
      <c r="H50">
        <v>9</v>
      </c>
      <c r="I50">
        <v>10036.89</v>
      </c>
      <c r="J50">
        <v>988.5</v>
      </c>
      <c r="K50" t="str">
        <f>Table1[[#This Row],[Day]]&amp;"/"&amp;Table1[[#This Row],[Month]]&amp;"/"&amp;Table1[[#This Row],[Year]]</f>
        <v>30/4/2022</v>
      </c>
      <c r="L50" t="str">
        <f>TEXT(Table1[[#This Row],[Order Date]],"MMM")</f>
        <v>Apr</v>
      </c>
      <c r="M50">
        <f>YEAR(Table1[[#This Row],[Year]])</f>
        <v>1905</v>
      </c>
    </row>
    <row r="51" spans="1:13" x14ac:dyDescent="0.25">
      <c r="A51" t="s">
        <v>57</v>
      </c>
      <c r="B51">
        <v>9</v>
      </c>
      <c r="C51">
        <v>27</v>
      </c>
      <c r="D51">
        <v>2023</v>
      </c>
      <c r="E51" t="s">
        <v>632</v>
      </c>
      <c r="F51" t="s">
        <v>636</v>
      </c>
      <c r="G51" t="s">
        <v>648</v>
      </c>
      <c r="H51">
        <v>7</v>
      </c>
      <c r="I51">
        <v>6466.88</v>
      </c>
      <c r="J51">
        <v>1526.03</v>
      </c>
      <c r="K51" t="str">
        <f>Table1[[#This Row],[Day]]&amp;"/"&amp;Table1[[#This Row],[Month]]&amp;"/"&amp;Table1[[#This Row],[Year]]</f>
        <v>27/9/2023</v>
      </c>
      <c r="L51" t="str">
        <f>TEXT(Table1[[#This Row],[Order Date]],"MMM")</f>
        <v>Sep</v>
      </c>
      <c r="M51">
        <f>YEAR(Table1[[#This Row],[Year]])</f>
        <v>1905</v>
      </c>
    </row>
    <row r="52" spans="1:13" x14ac:dyDescent="0.25">
      <c r="A52" t="s">
        <v>58</v>
      </c>
      <c r="B52">
        <v>4</v>
      </c>
      <c r="C52">
        <v>27</v>
      </c>
      <c r="D52">
        <v>2023</v>
      </c>
      <c r="E52" t="s">
        <v>633</v>
      </c>
      <c r="F52" t="s">
        <v>638</v>
      </c>
      <c r="G52" t="s">
        <v>643</v>
      </c>
      <c r="H52">
        <v>9</v>
      </c>
      <c r="I52">
        <v>1037.97</v>
      </c>
      <c r="J52">
        <v>101.73</v>
      </c>
      <c r="K52" t="str">
        <f>Table1[[#This Row],[Day]]&amp;"/"&amp;Table1[[#This Row],[Month]]&amp;"/"&amp;Table1[[#This Row],[Year]]</f>
        <v>27/4/2023</v>
      </c>
      <c r="L52" t="str">
        <f>TEXT(Table1[[#This Row],[Order Date]],"MMM")</f>
        <v>Apr</v>
      </c>
      <c r="M52">
        <f>YEAR(Table1[[#This Row],[Year]])</f>
        <v>1905</v>
      </c>
    </row>
    <row r="53" spans="1:13" x14ac:dyDescent="0.25">
      <c r="A53" t="s">
        <v>59</v>
      </c>
      <c r="B53">
        <v>1</v>
      </c>
      <c r="C53">
        <v>26</v>
      </c>
      <c r="D53">
        <v>2022</v>
      </c>
      <c r="E53" t="s">
        <v>635</v>
      </c>
      <c r="F53" t="s">
        <v>638</v>
      </c>
      <c r="G53" t="s">
        <v>644</v>
      </c>
      <c r="H53">
        <v>9</v>
      </c>
      <c r="I53">
        <v>10131.030000000001</v>
      </c>
      <c r="J53">
        <v>746.46</v>
      </c>
      <c r="K53" t="str">
        <f>Table1[[#This Row],[Day]]&amp;"/"&amp;Table1[[#This Row],[Month]]&amp;"/"&amp;Table1[[#This Row],[Year]]</f>
        <v>26/1/2022</v>
      </c>
      <c r="L53" t="str">
        <f>TEXT(Table1[[#This Row],[Order Date]],"MMM")</f>
        <v>Jan</v>
      </c>
      <c r="M53">
        <f>YEAR(Table1[[#This Row],[Year]])</f>
        <v>1905</v>
      </c>
    </row>
    <row r="54" spans="1:13" x14ac:dyDescent="0.25">
      <c r="A54" t="s">
        <v>60</v>
      </c>
      <c r="B54">
        <v>6</v>
      </c>
      <c r="C54">
        <v>19</v>
      </c>
      <c r="D54">
        <v>2022</v>
      </c>
      <c r="E54" t="s">
        <v>634</v>
      </c>
      <c r="F54" t="s">
        <v>638</v>
      </c>
      <c r="G54" t="s">
        <v>642</v>
      </c>
      <c r="H54">
        <v>2</v>
      </c>
      <c r="I54">
        <v>206.84</v>
      </c>
      <c r="J54">
        <v>27.93</v>
      </c>
      <c r="K54" t="str">
        <f>Table1[[#This Row],[Day]]&amp;"/"&amp;Table1[[#This Row],[Month]]&amp;"/"&amp;Table1[[#This Row],[Year]]</f>
        <v>19/6/2022</v>
      </c>
      <c r="L54" t="str">
        <f>TEXT(Table1[[#This Row],[Order Date]],"MMM")</f>
        <v>Jun</v>
      </c>
      <c r="M54">
        <f>YEAR(Table1[[#This Row],[Year]])</f>
        <v>1905</v>
      </c>
    </row>
    <row r="55" spans="1:13" x14ac:dyDescent="0.25">
      <c r="A55" t="s">
        <v>61</v>
      </c>
      <c r="B55">
        <v>4</v>
      </c>
      <c r="C55">
        <v>21</v>
      </c>
      <c r="D55">
        <v>2023</v>
      </c>
      <c r="E55" t="s">
        <v>632</v>
      </c>
      <c r="F55" t="s">
        <v>638</v>
      </c>
      <c r="G55" t="s">
        <v>646</v>
      </c>
      <c r="H55">
        <v>2</v>
      </c>
      <c r="I55">
        <v>2936.54</v>
      </c>
      <c r="J55">
        <v>659.21</v>
      </c>
      <c r="K55" t="str">
        <f>Table1[[#This Row],[Day]]&amp;"/"&amp;Table1[[#This Row],[Month]]&amp;"/"&amp;Table1[[#This Row],[Year]]</f>
        <v>21/4/2023</v>
      </c>
      <c r="L55" t="str">
        <f>TEXT(Table1[[#This Row],[Order Date]],"MMM")</f>
        <v>Apr</v>
      </c>
      <c r="M55">
        <f>YEAR(Table1[[#This Row],[Year]])</f>
        <v>1905</v>
      </c>
    </row>
    <row r="56" spans="1:13" x14ac:dyDescent="0.25">
      <c r="A56" t="s">
        <v>62</v>
      </c>
      <c r="B56">
        <v>6</v>
      </c>
      <c r="C56">
        <v>2</v>
      </c>
      <c r="D56">
        <v>2022</v>
      </c>
      <c r="E56" t="s">
        <v>634</v>
      </c>
      <c r="F56" t="s">
        <v>638</v>
      </c>
      <c r="G56" t="s">
        <v>646</v>
      </c>
      <c r="H56">
        <v>6</v>
      </c>
      <c r="I56">
        <v>7542.3</v>
      </c>
      <c r="J56">
        <v>2069.56</v>
      </c>
      <c r="K56" t="str">
        <f>Table1[[#This Row],[Day]]&amp;"/"&amp;Table1[[#This Row],[Month]]&amp;"/"&amp;Table1[[#This Row],[Year]]</f>
        <v>2/6/2022</v>
      </c>
      <c r="L56" t="str">
        <f>TEXT(Table1[[#This Row],[Order Date]],"MMM")</f>
        <v>Jun</v>
      </c>
      <c r="M56">
        <f>YEAR(Table1[[#This Row],[Year]])</f>
        <v>1905</v>
      </c>
    </row>
    <row r="57" spans="1:13" x14ac:dyDescent="0.25">
      <c r="A57" t="s">
        <v>63</v>
      </c>
      <c r="B57">
        <v>5</v>
      </c>
      <c r="C57">
        <v>12</v>
      </c>
      <c r="D57">
        <v>2023</v>
      </c>
      <c r="E57" t="s">
        <v>632</v>
      </c>
      <c r="F57" t="s">
        <v>637</v>
      </c>
      <c r="G57" t="s">
        <v>640</v>
      </c>
      <c r="H57">
        <v>8</v>
      </c>
      <c r="I57">
        <v>705.04</v>
      </c>
      <c r="J57">
        <v>91.97</v>
      </c>
      <c r="K57" t="str">
        <f>Table1[[#This Row],[Day]]&amp;"/"&amp;Table1[[#This Row],[Month]]&amp;"/"&amp;Table1[[#This Row],[Year]]</f>
        <v>12/5/2023</v>
      </c>
      <c r="L57" t="str">
        <f>TEXT(Table1[[#This Row],[Order Date]],"MMM")</f>
        <v>May</v>
      </c>
      <c r="M57">
        <f>YEAR(Table1[[#This Row],[Year]])</f>
        <v>1905</v>
      </c>
    </row>
    <row r="58" spans="1:13" x14ac:dyDescent="0.25">
      <c r="A58" t="s">
        <v>64</v>
      </c>
      <c r="B58">
        <v>10</v>
      </c>
      <c r="C58">
        <v>30</v>
      </c>
      <c r="D58">
        <v>2022</v>
      </c>
      <c r="E58" t="s">
        <v>635</v>
      </c>
      <c r="F58" t="s">
        <v>638</v>
      </c>
      <c r="G58" t="s">
        <v>642</v>
      </c>
      <c r="H58">
        <v>8</v>
      </c>
      <c r="I58">
        <v>3855.92</v>
      </c>
      <c r="J58">
        <v>760.32</v>
      </c>
      <c r="K58" t="str">
        <f>Table1[[#This Row],[Day]]&amp;"/"&amp;Table1[[#This Row],[Month]]&amp;"/"&amp;Table1[[#This Row],[Year]]</f>
        <v>30/10/2022</v>
      </c>
      <c r="L58" t="str">
        <f>TEXT(Table1[[#This Row],[Order Date]],"MMM")</f>
        <v>Oct</v>
      </c>
      <c r="M58">
        <f>YEAR(Table1[[#This Row],[Year]])</f>
        <v>1905</v>
      </c>
    </row>
    <row r="59" spans="1:13" x14ac:dyDescent="0.25">
      <c r="A59" t="s">
        <v>65</v>
      </c>
      <c r="B59">
        <v>11</v>
      </c>
      <c r="C59">
        <v>11</v>
      </c>
      <c r="D59">
        <v>2022</v>
      </c>
      <c r="E59" t="s">
        <v>633</v>
      </c>
      <c r="F59" t="s">
        <v>638</v>
      </c>
      <c r="G59" t="s">
        <v>642</v>
      </c>
      <c r="H59">
        <v>1</v>
      </c>
      <c r="I59">
        <v>823.27</v>
      </c>
      <c r="J59">
        <v>77.27</v>
      </c>
      <c r="K59" t="str">
        <f>Table1[[#This Row],[Day]]&amp;"/"&amp;Table1[[#This Row],[Month]]&amp;"/"&amp;Table1[[#This Row],[Year]]</f>
        <v>11/11/2022</v>
      </c>
      <c r="L59" t="str">
        <f>TEXT(Table1[[#This Row],[Order Date]],"MMM")</f>
        <v>Nov</v>
      </c>
      <c r="M59">
        <f>YEAR(Table1[[#This Row],[Year]])</f>
        <v>1905</v>
      </c>
    </row>
    <row r="60" spans="1:13" x14ac:dyDescent="0.25">
      <c r="A60" t="s">
        <v>66</v>
      </c>
      <c r="B60">
        <v>1</v>
      </c>
      <c r="C60">
        <v>23</v>
      </c>
      <c r="D60">
        <v>2023</v>
      </c>
      <c r="E60" t="s">
        <v>633</v>
      </c>
      <c r="F60" t="s">
        <v>636</v>
      </c>
      <c r="G60" t="s">
        <v>641</v>
      </c>
      <c r="H60">
        <v>9</v>
      </c>
      <c r="I60">
        <v>3485.43</v>
      </c>
      <c r="J60">
        <v>728.82</v>
      </c>
      <c r="K60" t="str">
        <f>Table1[[#This Row],[Day]]&amp;"/"&amp;Table1[[#This Row],[Month]]&amp;"/"&amp;Table1[[#This Row],[Year]]</f>
        <v>23/1/2023</v>
      </c>
      <c r="L60" t="str">
        <f>TEXT(Table1[[#This Row],[Order Date]],"MMM")</f>
        <v>Jan</v>
      </c>
      <c r="M60">
        <f>YEAR(Table1[[#This Row],[Year]])</f>
        <v>1905</v>
      </c>
    </row>
    <row r="61" spans="1:13" x14ac:dyDescent="0.25">
      <c r="A61" t="s">
        <v>67</v>
      </c>
      <c r="B61">
        <v>6</v>
      </c>
      <c r="C61">
        <v>11</v>
      </c>
      <c r="D61">
        <v>2023</v>
      </c>
      <c r="E61" t="s">
        <v>633</v>
      </c>
      <c r="F61" t="s">
        <v>638</v>
      </c>
      <c r="G61" t="s">
        <v>643</v>
      </c>
      <c r="H61">
        <v>2</v>
      </c>
      <c r="I61">
        <v>345.18</v>
      </c>
      <c r="J61">
        <v>70.33</v>
      </c>
      <c r="K61" t="str">
        <f>Table1[[#This Row],[Day]]&amp;"/"&amp;Table1[[#This Row],[Month]]&amp;"/"&amp;Table1[[#This Row],[Year]]</f>
        <v>11/6/2023</v>
      </c>
      <c r="L61" t="str">
        <f>TEXT(Table1[[#This Row],[Order Date]],"MMM")</f>
        <v>Jun</v>
      </c>
      <c r="M61">
        <f>YEAR(Table1[[#This Row],[Year]])</f>
        <v>1905</v>
      </c>
    </row>
    <row r="62" spans="1:13" x14ac:dyDescent="0.25">
      <c r="A62" t="s">
        <v>68</v>
      </c>
      <c r="B62">
        <v>11</v>
      </c>
      <c r="C62">
        <v>5</v>
      </c>
      <c r="D62">
        <v>2023</v>
      </c>
      <c r="E62" t="s">
        <v>635</v>
      </c>
      <c r="F62" t="s">
        <v>638</v>
      </c>
      <c r="G62" t="s">
        <v>642</v>
      </c>
      <c r="H62">
        <v>3</v>
      </c>
      <c r="I62">
        <v>3459</v>
      </c>
      <c r="J62">
        <v>477.27</v>
      </c>
      <c r="K62" t="str">
        <f>Table1[[#This Row],[Day]]&amp;"/"&amp;Table1[[#This Row],[Month]]&amp;"/"&amp;Table1[[#This Row],[Year]]</f>
        <v>5/11/2023</v>
      </c>
      <c r="L62" t="str">
        <f>TEXT(Table1[[#This Row],[Order Date]],"MMM")</f>
        <v>Nov</v>
      </c>
      <c r="M62">
        <f>YEAR(Table1[[#This Row],[Year]])</f>
        <v>1905</v>
      </c>
    </row>
    <row r="63" spans="1:13" x14ac:dyDescent="0.25">
      <c r="A63" t="s">
        <v>69</v>
      </c>
      <c r="B63">
        <v>8</v>
      </c>
      <c r="C63">
        <v>29</v>
      </c>
      <c r="D63">
        <v>2023</v>
      </c>
      <c r="E63" t="s">
        <v>635</v>
      </c>
      <c r="F63" t="s">
        <v>636</v>
      </c>
      <c r="G63" t="s">
        <v>647</v>
      </c>
      <c r="H63">
        <v>1</v>
      </c>
      <c r="I63">
        <v>285.77</v>
      </c>
      <c r="J63">
        <v>28</v>
      </c>
      <c r="K63" t="str">
        <f>Table1[[#This Row],[Day]]&amp;"/"&amp;Table1[[#This Row],[Month]]&amp;"/"&amp;Table1[[#This Row],[Year]]</f>
        <v>29/8/2023</v>
      </c>
      <c r="L63" t="str">
        <f>TEXT(Table1[[#This Row],[Order Date]],"MMM")</f>
        <v>Aug</v>
      </c>
      <c r="M63">
        <f>YEAR(Table1[[#This Row],[Year]])</f>
        <v>1905</v>
      </c>
    </row>
    <row r="64" spans="1:13" x14ac:dyDescent="0.25">
      <c r="A64" t="s">
        <v>70</v>
      </c>
      <c r="B64">
        <v>12</v>
      </c>
      <c r="C64">
        <v>25</v>
      </c>
      <c r="D64">
        <v>2023</v>
      </c>
      <c r="E64" t="s">
        <v>634</v>
      </c>
      <c r="F64" t="s">
        <v>638</v>
      </c>
      <c r="G64" t="s">
        <v>646</v>
      </c>
      <c r="H64">
        <v>2</v>
      </c>
      <c r="I64">
        <v>1548.84</v>
      </c>
      <c r="J64">
        <v>409.18</v>
      </c>
      <c r="K64" t="str">
        <f>Table1[[#This Row],[Day]]&amp;"/"&amp;Table1[[#This Row],[Month]]&amp;"/"&amp;Table1[[#This Row],[Year]]</f>
        <v>25/12/2023</v>
      </c>
      <c r="L64" t="str">
        <f>TEXT(Table1[[#This Row],[Order Date]],"MMM")</f>
        <v>Dec</v>
      </c>
      <c r="M64">
        <f>YEAR(Table1[[#This Row],[Year]])</f>
        <v>1905</v>
      </c>
    </row>
    <row r="65" spans="1:13" x14ac:dyDescent="0.25">
      <c r="A65" t="s">
        <v>71</v>
      </c>
      <c r="B65">
        <v>2</v>
      </c>
      <c r="C65">
        <v>1</v>
      </c>
      <c r="D65">
        <v>2022</v>
      </c>
      <c r="E65" t="s">
        <v>634</v>
      </c>
      <c r="F65" t="s">
        <v>636</v>
      </c>
      <c r="G65" t="s">
        <v>648</v>
      </c>
      <c r="H65">
        <v>3</v>
      </c>
      <c r="I65">
        <v>1282.1400000000001</v>
      </c>
      <c r="J65">
        <v>310.70999999999998</v>
      </c>
      <c r="K65" t="str">
        <f>Table1[[#This Row],[Day]]&amp;"/"&amp;Table1[[#This Row],[Month]]&amp;"/"&amp;Table1[[#This Row],[Year]]</f>
        <v>1/2/2022</v>
      </c>
      <c r="L65" t="str">
        <f>TEXT(Table1[[#This Row],[Order Date]],"MMM")</f>
        <v>Feb</v>
      </c>
      <c r="M65">
        <f>YEAR(Table1[[#This Row],[Year]])</f>
        <v>1905</v>
      </c>
    </row>
    <row r="66" spans="1:13" x14ac:dyDescent="0.25">
      <c r="A66" t="s">
        <v>72</v>
      </c>
      <c r="B66">
        <v>6</v>
      </c>
      <c r="C66">
        <v>5</v>
      </c>
      <c r="D66">
        <v>2023</v>
      </c>
      <c r="E66" t="s">
        <v>635</v>
      </c>
      <c r="F66" t="s">
        <v>636</v>
      </c>
      <c r="G66" t="s">
        <v>648</v>
      </c>
      <c r="H66">
        <v>1</v>
      </c>
      <c r="I66">
        <v>157.12</v>
      </c>
      <c r="J66">
        <v>15.1</v>
      </c>
      <c r="K66" t="str">
        <f>Table1[[#This Row],[Day]]&amp;"/"&amp;Table1[[#This Row],[Month]]&amp;"/"&amp;Table1[[#This Row],[Year]]</f>
        <v>5/6/2023</v>
      </c>
      <c r="L66" t="str">
        <f>TEXT(Table1[[#This Row],[Order Date]],"MMM")</f>
        <v>Jun</v>
      </c>
      <c r="M66">
        <f>YEAR(Table1[[#This Row],[Year]])</f>
        <v>1905</v>
      </c>
    </row>
    <row r="67" spans="1:13" x14ac:dyDescent="0.25">
      <c r="A67" t="s">
        <v>73</v>
      </c>
      <c r="B67">
        <v>11</v>
      </c>
      <c r="C67">
        <v>5</v>
      </c>
      <c r="D67">
        <v>2022</v>
      </c>
      <c r="E67" t="s">
        <v>633</v>
      </c>
      <c r="F67" t="s">
        <v>636</v>
      </c>
      <c r="G67" t="s">
        <v>641</v>
      </c>
      <c r="H67">
        <v>1</v>
      </c>
      <c r="I67">
        <v>190.34</v>
      </c>
      <c r="J67">
        <v>30.42</v>
      </c>
      <c r="K67" t="str">
        <f>Table1[[#This Row],[Day]]&amp;"/"&amp;Table1[[#This Row],[Month]]&amp;"/"&amp;Table1[[#This Row],[Year]]</f>
        <v>5/11/2022</v>
      </c>
      <c r="L67" t="str">
        <f>TEXT(Table1[[#This Row],[Order Date]],"MMM")</f>
        <v>Nov</v>
      </c>
      <c r="M67">
        <f>YEAR(Table1[[#This Row],[Year]])</f>
        <v>1905</v>
      </c>
    </row>
    <row r="68" spans="1:13" x14ac:dyDescent="0.25">
      <c r="A68" t="s">
        <v>74</v>
      </c>
      <c r="B68">
        <v>12</v>
      </c>
      <c r="C68">
        <v>16</v>
      </c>
      <c r="D68">
        <v>2022</v>
      </c>
      <c r="E68" t="s">
        <v>634</v>
      </c>
      <c r="F68" t="s">
        <v>638</v>
      </c>
      <c r="G68" t="s">
        <v>644</v>
      </c>
      <c r="H68">
        <v>3</v>
      </c>
      <c r="I68">
        <v>1579.5</v>
      </c>
      <c r="J68">
        <v>350.75</v>
      </c>
      <c r="K68" t="str">
        <f>Table1[[#This Row],[Day]]&amp;"/"&amp;Table1[[#This Row],[Month]]&amp;"/"&amp;Table1[[#This Row],[Year]]</f>
        <v>16/12/2022</v>
      </c>
      <c r="L68" t="str">
        <f>TEXT(Table1[[#This Row],[Order Date]],"MMM")</f>
        <v>Dec</v>
      </c>
      <c r="M68">
        <f>YEAR(Table1[[#This Row],[Year]])</f>
        <v>1905</v>
      </c>
    </row>
    <row r="69" spans="1:13" x14ac:dyDescent="0.25">
      <c r="A69" t="s">
        <v>75</v>
      </c>
      <c r="B69">
        <v>11</v>
      </c>
      <c r="C69">
        <v>14</v>
      </c>
      <c r="D69">
        <v>2023</v>
      </c>
      <c r="E69" t="s">
        <v>635</v>
      </c>
      <c r="F69" t="s">
        <v>637</v>
      </c>
      <c r="G69" t="s">
        <v>650</v>
      </c>
      <c r="H69">
        <v>3</v>
      </c>
      <c r="I69">
        <v>2823.15</v>
      </c>
      <c r="J69">
        <v>326.36</v>
      </c>
      <c r="K69" t="str">
        <f>Table1[[#This Row],[Day]]&amp;"/"&amp;Table1[[#This Row],[Month]]&amp;"/"&amp;Table1[[#This Row],[Year]]</f>
        <v>14/11/2023</v>
      </c>
      <c r="L69" t="str">
        <f>TEXT(Table1[[#This Row],[Order Date]],"MMM")</f>
        <v>Nov</v>
      </c>
      <c r="M69">
        <f>YEAR(Table1[[#This Row],[Year]])</f>
        <v>1905</v>
      </c>
    </row>
    <row r="70" spans="1:13" x14ac:dyDescent="0.25">
      <c r="A70" t="s">
        <v>76</v>
      </c>
      <c r="B70">
        <v>7</v>
      </c>
      <c r="C70">
        <v>27</v>
      </c>
      <c r="D70">
        <v>2022</v>
      </c>
      <c r="E70" t="s">
        <v>633</v>
      </c>
      <c r="F70" t="s">
        <v>636</v>
      </c>
      <c r="G70" t="s">
        <v>641</v>
      </c>
      <c r="H70">
        <v>1</v>
      </c>
      <c r="I70">
        <v>16.8</v>
      </c>
      <c r="J70">
        <v>4.63</v>
      </c>
      <c r="K70" t="str">
        <f>Table1[[#This Row],[Day]]&amp;"/"&amp;Table1[[#This Row],[Month]]&amp;"/"&amp;Table1[[#This Row],[Year]]</f>
        <v>27/7/2022</v>
      </c>
      <c r="L70" t="str">
        <f>TEXT(Table1[[#This Row],[Order Date]],"MMM")</f>
        <v>Jul</v>
      </c>
      <c r="M70">
        <f>YEAR(Table1[[#This Row],[Year]])</f>
        <v>1905</v>
      </c>
    </row>
    <row r="71" spans="1:13" x14ac:dyDescent="0.25">
      <c r="A71" t="s">
        <v>77</v>
      </c>
      <c r="B71">
        <v>1</v>
      </c>
      <c r="C71">
        <v>29</v>
      </c>
      <c r="D71">
        <v>2023</v>
      </c>
      <c r="E71" t="s">
        <v>633</v>
      </c>
      <c r="F71" t="s">
        <v>638</v>
      </c>
      <c r="G71" t="s">
        <v>644</v>
      </c>
      <c r="H71">
        <v>4</v>
      </c>
      <c r="I71">
        <v>191.44</v>
      </c>
      <c r="J71">
        <v>26.33</v>
      </c>
      <c r="K71" t="str">
        <f>Table1[[#This Row],[Day]]&amp;"/"&amp;Table1[[#This Row],[Month]]&amp;"/"&amp;Table1[[#This Row],[Year]]</f>
        <v>29/1/2023</v>
      </c>
      <c r="L71" t="str">
        <f>TEXT(Table1[[#This Row],[Order Date]],"MMM")</f>
        <v>Jan</v>
      </c>
      <c r="M71">
        <f>YEAR(Table1[[#This Row],[Year]])</f>
        <v>1905</v>
      </c>
    </row>
    <row r="72" spans="1:13" x14ac:dyDescent="0.25">
      <c r="A72" t="s">
        <v>78</v>
      </c>
      <c r="B72">
        <v>11</v>
      </c>
      <c r="C72">
        <v>2</v>
      </c>
      <c r="D72">
        <v>2022</v>
      </c>
      <c r="E72" t="s">
        <v>633</v>
      </c>
      <c r="F72" t="s">
        <v>638</v>
      </c>
      <c r="G72" t="s">
        <v>646</v>
      </c>
      <c r="H72">
        <v>7</v>
      </c>
      <c r="I72">
        <v>10467.450000000001</v>
      </c>
      <c r="J72">
        <v>2595.65</v>
      </c>
      <c r="K72" t="str">
        <f>Table1[[#This Row],[Day]]&amp;"/"&amp;Table1[[#This Row],[Month]]&amp;"/"&amp;Table1[[#This Row],[Year]]</f>
        <v>2/11/2022</v>
      </c>
      <c r="L72" t="str">
        <f>TEXT(Table1[[#This Row],[Order Date]],"MMM")</f>
        <v>Nov</v>
      </c>
      <c r="M72">
        <f>YEAR(Table1[[#This Row],[Year]])</f>
        <v>1905</v>
      </c>
    </row>
    <row r="73" spans="1:13" x14ac:dyDescent="0.25">
      <c r="A73" t="s">
        <v>79</v>
      </c>
      <c r="B73">
        <v>3</v>
      </c>
      <c r="C73">
        <v>4</v>
      </c>
      <c r="D73">
        <v>2022</v>
      </c>
      <c r="E73" t="s">
        <v>632</v>
      </c>
      <c r="F73" t="s">
        <v>637</v>
      </c>
      <c r="G73" t="s">
        <v>640</v>
      </c>
      <c r="H73">
        <v>5</v>
      </c>
      <c r="I73">
        <v>4494.8</v>
      </c>
      <c r="J73">
        <v>1152.43</v>
      </c>
      <c r="K73" t="str">
        <f>Table1[[#This Row],[Day]]&amp;"/"&amp;Table1[[#This Row],[Month]]&amp;"/"&amp;Table1[[#This Row],[Year]]</f>
        <v>4/3/2022</v>
      </c>
      <c r="L73" t="str">
        <f>TEXT(Table1[[#This Row],[Order Date]],"MMM")</f>
        <v>Mar</v>
      </c>
      <c r="M73">
        <f>YEAR(Table1[[#This Row],[Year]])</f>
        <v>1905</v>
      </c>
    </row>
    <row r="74" spans="1:13" x14ac:dyDescent="0.25">
      <c r="A74" t="s">
        <v>80</v>
      </c>
      <c r="B74">
        <v>1</v>
      </c>
      <c r="C74">
        <v>30</v>
      </c>
      <c r="D74">
        <v>2022</v>
      </c>
      <c r="E74" t="s">
        <v>635</v>
      </c>
      <c r="F74" t="s">
        <v>638</v>
      </c>
      <c r="G74" t="s">
        <v>642</v>
      </c>
      <c r="H74">
        <v>1</v>
      </c>
      <c r="I74">
        <v>1406.11</v>
      </c>
      <c r="J74">
        <v>140.01</v>
      </c>
      <c r="K74" t="str">
        <f>Table1[[#This Row],[Day]]&amp;"/"&amp;Table1[[#This Row],[Month]]&amp;"/"&amp;Table1[[#This Row],[Year]]</f>
        <v>30/1/2022</v>
      </c>
      <c r="L74" t="str">
        <f>TEXT(Table1[[#This Row],[Order Date]],"MMM")</f>
        <v>Jan</v>
      </c>
      <c r="M74">
        <f>YEAR(Table1[[#This Row],[Year]])</f>
        <v>1905</v>
      </c>
    </row>
    <row r="75" spans="1:13" x14ac:dyDescent="0.25">
      <c r="A75" t="s">
        <v>81</v>
      </c>
      <c r="B75">
        <v>9</v>
      </c>
      <c r="C75">
        <v>18</v>
      </c>
      <c r="D75">
        <v>2023</v>
      </c>
      <c r="E75" t="s">
        <v>634</v>
      </c>
      <c r="F75" t="s">
        <v>637</v>
      </c>
      <c r="G75" t="s">
        <v>650</v>
      </c>
      <c r="H75">
        <v>3</v>
      </c>
      <c r="I75">
        <v>3729.75</v>
      </c>
      <c r="J75">
        <v>726.86</v>
      </c>
      <c r="K75" t="str">
        <f>Table1[[#This Row],[Day]]&amp;"/"&amp;Table1[[#This Row],[Month]]&amp;"/"&amp;Table1[[#This Row],[Year]]</f>
        <v>18/9/2023</v>
      </c>
      <c r="L75" t="str">
        <f>TEXT(Table1[[#This Row],[Order Date]],"MMM")</f>
        <v>Sep</v>
      </c>
      <c r="M75">
        <f>YEAR(Table1[[#This Row],[Year]])</f>
        <v>1905</v>
      </c>
    </row>
    <row r="76" spans="1:13" x14ac:dyDescent="0.25">
      <c r="A76" t="s">
        <v>82</v>
      </c>
      <c r="B76">
        <v>5</v>
      </c>
      <c r="C76">
        <v>7</v>
      </c>
      <c r="D76">
        <v>2022</v>
      </c>
      <c r="E76" t="s">
        <v>633</v>
      </c>
      <c r="F76" t="s">
        <v>636</v>
      </c>
      <c r="G76" t="s">
        <v>648</v>
      </c>
      <c r="H76">
        <v>3</v>
      </c>
      <c r="I76">
        <v>953.07</v>
      </c>
      <c r="J76">
        <v>113.59</v>
      </c>
      <c r="K76" t="str">
        <f>Table1[[#This Row],[Day]]&amp;"/"&amp;Table1[[#This Row],[Month]]&amp;"/"&amp;Table1[[#This Row],[Year]]</f>
        <v>7/5/2022</v>
      </c>
      <c r="L76" t="str">
        <f>TEXT(Table1[[#This Row],[Order Date]],"MMM")</f>
        <v>May</v>
      </c>
      <c r="M76">
        <f>YEAR(Table1[[#This Row],[Year]])</f>
        <v>1905</v>
      </c>
    </row>
    <row r="77" spans="1:13" x14ac:dyDescent="0.25">
      <c r="A77" t="s">
        <v>83</v>
      </c>
      <c r="B77">
        <v>8</v>
      </c>
      <c r="C77">
        <v>24</v>
      </c>
      <c r="D77">
        <v>2022</v>
      </c>
      <c r="E77" t="s">
        <v>632</v>
      </c>
      <c r="F77" t="s">
        <v>637</v>
      </c>
      <c r="G77" t="s">
        <v>645</v>
      </c>
      <c r="H77">
        <v>1</v>
      </c>
      <c r="I77">
        <v>1096.6400000000001</v>
      </c>
      <c r="J77">
        <v>183.64</v>
      </c>
      <c r="K77" t="str">
        <f>Table1[[#This Row],[Day]]&amp;"/"&amp;Table1[[#This Row],[Month]]&amp;"/"&amp;Table1[[#This Row],[Year]]</f>
        <v>24/8/2022</v>
      </c>
      <c r="L77" t="str">
        <f>TEXT(Table1[[#This Row],[Order Date]],"MMM")</f>
        <v>Aug</v>
      </c>
      <c r="M77">
        <f>YEAR(Table1[[#This Row],[Year]])</f>
        <v>1905</v>
      </c>
    </row>
    <row r="78" spans="1:13" x14ac:dyDescent="0.25">
      <c r="A78" t="s">
        <v>84</v>
      </c>
      <c r="B78">
        <v>9</v>
      </c>
      <c r="C78">
        <v>21</v>
      </c>
      <c r="D78">
        <v>2022</v>
      </c>
      <c r="E78" t="s">
        <v>634</v>
      </c>
      <c r="F78" t="s">
        <v>636</v>
      </c>
      <c r="G78" t="s">
        <v>647</v>
      </c>
      <c r="H78">
        <v>4</v>
      </c>
      <c r="I78">
        <v>5611.76</v>
      </c>
      <c r="J78">
        <v>676.13</v>
      </c>
      <c r="K78" t="str">
        <f>Table1[[#This Row],[Day]]&amp;"/"&amp;Table1[[#This Row],[Month]]&amp;"/"&amp;Table1[[#This Row],[Year]]</f>
        <v>21/9/2022</v>
      </c>
      <c r="L78" t="str">
        <f>TEXT(Table1[[#This Row],[Order Date]],"MMM")</f>
        <v>Sep</v>
      </c>
      <c r="M78">
        <f>YEAR(Table1[[#This Row],[Year]])</f>
        <v>1905</v>
      </c>
    </row>
    <row r="79" spans="1:13" x14ac:dyDescent="0.25">
      <c r="A79" t="s">
        <v>85</v>
      </c>
      <c r="B79">
        <v>12</v>
      </c>
      <c r="C79">
        <v>31</v>
      </c>
      <c r="D79">
        <v>2023</v>
      </c>
      <c r="E79" t="s">
        <v>633</v>
      </c>
      <c r="F79" t="s">
        <v>638</v>
      </c>
      <c r="G79" t="s">
        <v>642</v>
      </c>
      <c r="H79">
        <v>8</v>
      </c>
      <c r="I79">
        <v>4249.68</v>
      </c>
      <c r="J79">
        <v>1253.0899999999999</v>
      </c>
      <c r="K79" t="str">
        <f>Table1[[#This Row],[Day]]&amp;"/"&amp;Table1[[#This Row],[Month]]&amp;"/"&amp;Table1[[#This Row],[Year]]</f>
        <v>31/12/2023</v>
      </c>
      <c r="L79" t="str">
        <f>TEXT(Table1[[#This Row],[Order Date]],"MMM")</f>
        <v>Dec</v>
      </c>
      <c r="M79">
        <f>YEAR(Table1[[#This Row],[Year]])</f>
        <v>1905</v>
      </c>
    </row>
    <row r="80" spans="1:13" x14ac:dyDescent="0.25">
      <c r="A80" t="s">
        <v>86</v>
      </c>
      <c r="B80">
        <v>5</v>
      </c>
      <c r="C80">
        <v>1</v>
      </c>
      <c r="D80">
        <v>2022</v>
      </c>
      <c r="E80" t="s">
        <v>633</v>
      </c>
      <c r="F80" t="s">
        <v>638</v>
      </c>
      <c r="G80" t="s">
        <v>646</v>
      </c>
      <c r="H80">
        <v>6</v>
      </c>
      <c r="I80">
        <v>2487.6</v>
      </c>
      <c r="J80">
        <v>223.33</v>
      </c>
      <c r="K80" t="str">
        <f>Table1[[#This Row],[Day]]&amp;"/"&amp;Table1[[#This Row],[Month]]&amp;"/"&amp;Table1[[#This Row],[Year]]</f>
        <v>1/5/2022</v>
      </c>
      <c r="L80" t="str">
        <f>TEXT(Table1[[#This Row],[Order Date]],"MMM")</f>
        <v>May</v>
      </c>
      <c r="M80">
        <f>YEAR(Table1[[#This Row],[Year]])</f>
        <v>1905</v>
      </c>
    </row>
    <row r="81" spans="1:13" x14ac:dyDescent="0.25">
      <c r="A81" t="s">
        <v>87</v>
      </c>
      <c r="B81">
        <v>1</v>
      </c>
      <c r="C81">
        <v>25</v>
      </c>
      <c r="D81">
        <v>2023</v>
      </c>
      <c r="E81" t="s">
        <v>632</v>
      </c>
      <c r="F81" t="s">
        <v>638</v>
      </c>
      <c r="G81" t="s">
        <v>644</v>
      </c>
      <c r="H81">
        <v>5</v>
      </c>
      <c r="I81">
        <v>7481.9</v>
      </c>
      <c r="J81">
        <v>1792.92</v>
      </c>
      <c r="K81" t="str">
        <f>Table1[[#This Row],[Day]]&amp;"/"&amp;Table1[[#This Row],[Month]]&amp;"/"&amp;Table1[[#This Row],[Year]]</f>
        <v>25/1/2023</v>
      </c>
      <c r="L81" t="str">
        <f>TEXT(Table1[[#This Row],[Order Date]],"MMM")</f>
        <v>Jan</v>
      </c>
      <c r="M81">
        <f>YEAR(Table1[[#This Row],[Year]])</f>
        <v>1905</v>
      </c>
    </row>
    <row r="82" spans="1:13" x14ac:dyDescent="0.25">
      <c r="A82" t="s">
        <v>88</v>
      </c>
      <c r="B82">
        <v>5</v>
      </c>
      <c r="C82">
        <v>1</v>
      </c>
      <c r="D82">
        <v>2022</v>
      </c>
      <c r="E82" t="s">
        <v>635</v>
      </c>
      <c r="F82" t="s">
        <v>638</v>
      </c>
      <c r="G82" t="s">
        <v>644</v>
      </c>
      <c r="H82">
        <v>1</v>
      </c>
      <c r="I82">
        <v>414.86</v>
      </c>
      <c r="J82">
        <v>121.16</v>
      </c>
      <c r="K82" t="str">
        <f>Table1[[#This Row],[Day]]&amp;"/"&amp;Table1[[#This Row],[Month]]&amp;"/"&amp;Table1[[#This Row],[Year]]</f>
        <v>1/5/2022</v>
      </c>
      <c r="L82" t="str">
        <f>TEXT(Table1[[#This Row],[Order Date]],"MMM")</f>
        <v>May</v>
      </c>
      <c r="M82">
        <f>YEAR(Table1[[#This Row],[Year]])</f>
        <v>1905</v>
      </c>
    </row>
    <row r="83" spans="1:13" x14ac:dyDescent="0.25">
      <c r="A83" t="s">
        <v>89</v>
      </c>
      <c r="B83">
        <v>2</v>
      </c>
      <c r="C83">
        <v>24</v>
      </c>
      <c r="D83">
        <v>2023</v>
      </c>
      <c r="E83" t="s">
        <v>632</v>
      </c>
      <c r="F83" t="s">
        <v>636</v>
      </c>
      <c r="G83" t="s">
        <v>639</v>
      </c>
      <c r="H83">
        <v>5</v>
      </c>
      <c r="I83">
        <v>1121.9000000000001</v>
      </c>
      <c r="J83">
        <v>111.09</v>
      </c>
      <c r="K83" t="str">
        <f>Table1[[#This Row],[Day]]&amp;"/"&amp;Table1[[#This Row],[Month]]&amp;"/"&amp;Table1[[#This Row],[Year]]</f>
        <v>24/2/2023</v>
      </c>
      <c r="L83" t="str">
        <f>TEXT(Table1[[#This Row],[Order Date]],"MMM")</f>
        <v>Feb</v>
      </c>
      <c r="M83">
        <f>YEAR(Table1[[#This Row],[Year]])</f>
        <v>1905</v>
      </c>
    </row>
    <row r="84" spans="1:13" x14ac:dyDescent="0.25">
      <c r="A84" t="s">
        <v>90</v>
      </c>
      <c r="B84">
        <v>6</v>
      </c>
      <c r="C84">
        <v>28</v>
      </c>
      <c r="D84">
        <v>2022</v>
      </c>
      <c r="E84" t="s">
        <v>635</v>
      </c>
      <c r="F84" t="s">
        <v>636</v>
      </c>
      <c r="G84" t="s">
        <v>647</v>
      </c>
      <c r="H84">
        <v>6</v>
      </c>
      <c r="I84">
        <v>6839.16</v>
      </c>
      <c r="J84">
        <v>1086.72</v>
      </c>
      <c r="K84" t="str">
        <f>Table1[[#This Row],[Day]]&amp;"/"&amp;Table1[[#This Row],[Month]]&amp;"/"&amp;Table1[[#This Row],[Year]]</f>
        <v>28/6/2022</v>
      </c>
      <c r="L84" t="str">
        <f>TEXT(Table1[[#This Row],[Order Date]],"MMM")</f>
        <v>Jun</v>
      </c>
      <c r="M84">
        <f>YEAR(Table1[[#This Row],[Year]])</f>
        <v>1905</v>
      </c>
    </row>
    <row r="85" spans="1:13" x14ac:dyDescent="0.25">
      <c r="A85" t="s">
        <v>91</v>
      </c>
      <c r="B85">
        <v>8</v>
      </c>
      <c r="C85">
        <v>31</v>
      </c>
      <c r="D85">
        <v>2022</v>
      </c>
      <c r="E85" t="s">
        <v>633</v>
      </c>
      <c r="F85" t="s">
        <v>636</v>
      </c>
      <c r="G85" t="s">
        <v>639</v>
      </c>
      <c r="H85">
        <v>1</v>
      </c>
      <c r="I85">
        <v>915.97</v>
      </c>
      <c r="J85">
        <v>61.25</v>
      </c>
      <c r="K85" t="str">
        <f>Table1[[#This Row],[Day]]&amp;"/"&amp;Table1[[#This Row],[Month]]&amp;"/"&amp;Table1[[#This Row],[Year]]</f>
        <v>31/8/2022</v>
      </c>
      <c r="L85" t="str">
        <f>TEXT(Table1[[#This Row],[Order Date]],"MMM")</f>
        <v>Aug</v>
      </c>
      <c r="M85">
        <f>YEAR(Table1[[#This Row],[Year]])</f>
        <v>1905</v>
      </c>
    </row>
    <row r="86" spans="1:13" x14ac:dyDescent="0.25">
      <c r="A86" t="s">
        <v>92</v>
      </c>
      <c r="B86">
        <v>10</v>
      </c>
      <c r="C86">
        <v>22</v>
      </c>
      <c r="D86">
        <v>2023</v>
      </c>
      <c r="E86" t="s">
        <v>635</v>
      </c>
      <c r="F86" t="s">
        <v>637</v>
      </c>
      <c r="G86" t="s">
        <v>649</v>
      </c>
      <c r="H86">
        <v>2</v>
      </c>
      <c r="I86">
        <v>1540.28</v>
      </c>
      <c r="J86">
        <v>247.56</v>
      </c>
      <c r="K86" t="str">
        <f>Table1[[#This Row],[Day]]&amp;"/"&amp;Table1[[#This Row],[Month]]&amp;"/"&amp;Table1[[#This Row],[Year]]</f>
        <v>22/10/2023</v>
      </c>
      <c r="L86" t="str">
        <f>TEXT(Table1[[#This Row],[Order Date]],"MMM")</f>
        <v>Oct</v>
      </c>
      <c r="M86">
        <f>YEAR(Table1[[#This Row],[Year]])</f>
        <v>1905</v>
      </c>
    </row>
    <row r="87" spans="1:13" x14ac:dyDescent="0.25">
      <c r="A87" t="s">
        <v>93</v>
      </c>
      <c r="B87">
        <v>1</v>
      </c>
      <c r="C87">
        <v>30</v>
      </c>
      <c r="D87">
        <v>2022</v>
      </c>
      <c r="E87" t="s">
        <v>632</v>
      </c>
      <c r="F87" t="s">
        <v>637</v>
      </c>
      <c r="G87" t="s">
        <v>645</v>
      </c>
      <c r="H87">
        <v>4</v>
      </c>
      <c r="I87">
        <v>1920.84</v>
      </c>
      <c r="J87">
        <v>335.67</v>
      </c>
      <c r="K87" t="str">
        <f>Table1[[#This Row],[Day]]&amp;"/"&amp;Table1[[#This Row],[Month]]&amp;"/"&amp;Table1[[#This Row],[Year]]</f>
        <v>30/1/2022</v>
      </c>
      <c r="L87" t="str">
        <f>TEXT(Table1[[#This Row],[Order Date]],"MMM")</f>
        <v>Jan</v>
      </c>
      <c r="M87">
        <f>YEAR(Table1[[#This Row],[Year]])</f>
        <v>1905</v>
      </c>
    </row>
    <row r="88" spans="1:13" x14ac:dyDescent="0.25">
      <c r="A88" t="s">
        <v>94</v>
      </c>
      <c r="B88">
        <v>2</v>
      </c>
      <c r="C88">
        <v>13</v>
      </c>
      <c r="D88">
        <v>2022</v>
      </c>
      <c r="E88" t="s">
        <v>632</v>
      </c>
      <c r="F88" t="s">
        <v>638</v>
      </c>
      <c r="G88" t="s">
        <v>643</v>
      </c>
      <c r="H88">
        <v>3</v>
      </c>
      <c r="I88">
        <v>2784.39</v>
      </c>
      <c r="J88">
        <v>528.91</v>
      </c>
      <c r="K88" t="str">
        <f>Table1[[#This Row],[Day]]&amp;"/"&amp;Table1[[#This Row],[Month]]&amp;"/"&amp;Table1[[#This Row],[Year]]</f>
        <v>13/2/2022</v>
      </c>
      <c r="L88" t="str">
        <f>TEXT(Table1[[#This Row],[Order Date]],"MMM")</f>
        <v>Feb</v>
      </c>
      <c r="M88">
        <f>YEAR(Table1[[#This Row],[Year]])</f>
        <v>1905</v>
      </c>
    </row>
    <row r="89" spans="1:13" x14ac:dyDescent="0.25">
      <c r="A89" t="s">
        <v>95</v>
      </c>
      <c r="B89">
        <v>4</v>
      </c>
      <c r="C89">
        <v>30</v>
      </c>
      <c r="D89">
        <v>2022</v>
      </c>
      <c r="E89" t="s">
        <v>635</v>
      </c>
      <c r="F89" t="s">
        <v>638</v>
      </c>
      <c r="G89" t="s">
        <v>642</v>
      </c>
      <c r="H89">
        <v>9</v>
      </c>
      <c r="I89">
        <v>9894.15</v>
      </c>
      <c r="J89">
        <v>2029.49</v>
      </c>
      <c r="K89" t="str">
        <f>Table1[[#This Row],[Day]]&amp;"/"&amp;Table1[[#This Row],[Month]]&amp;"/"&amp;Table1[[#This Row],[Year]]</f>
        <v>30/4/2022</v>
      </c>
      <c r="L89" t="str">
        <f>TEXT(Table1[[#This Row],[Order Date]],"MMM")</f>
        <v>Apr</v>
      </c>
      <c r="M89">
        <f>YEAR(Table1[[#This Row],[Year]])</f>
        <v>1905</v>
      </c>
    </row>
    <row r="90" spans="1:13" x14ac:dyDescent="0.25">
      <c r="A90" t="s">
        <v>96</v>
      </c>
      <c r="B90">
        <v>1</v>
      </c>
      <c r="C90">
        <v>7</v>
      </c>
      <c r="D90">
        <v>2023</v>
      </c>
      <c r="E90" t="s">
        <v>635</v>
      </c>
      <c r="F90" t="s">
        <v>638</v>
      </c>
      <c r="G90" t="s">
        <v>643</v>
      </c>
      <c r="H90">
        <v>4</v>
      </c>
      <c r="I90">
        <v>750.64</v>
      </c>
      <c r="J90">
        <v>163.81</v>
      </c>
      <c r="K90" t="str">
        <f>Table1[[#This Row],[Day]]&amp;"/"&amp;Table1[[#This Row],[Month]]&amp;"/"&amp;Table1[[#This Row],[Year]]</f>
        <v>7/1/2023</v>
      </c>
      <c r="L90" t="str">
        <f>TEXT(Table1[[#This Row],[Order Date]],"MMM")</f>
        <v>Jan</v>
      </c>
      <c r="M90">
        <f>YEAR(Table1[[#This Row],[Year]])</f>
        <v>1905</v>
      </c>
    </row>
    <row r="91" spans="1:13" x14ac:dyDescent="0.25">
      <c r="A91" t="s">
        <v>97</v>
      </c>
      <c r="B91">
        <v>3</v>
      </c>
      <c r="C91">
        <v>4</v>
      </c>
      <c r="D91">
        <v>2023</v>
      </c>
      <c r="E91" t="s">
        <v>633</v>
      </c>
      <c r="F91" t="s">
        <v>637</v>
      </c>
      <c r="G91" t="s">
        <v>645</v>
      </c>
      <c r="H91">
        <v>1</v>
      </c>
      <c r="I91">
        <v>134.24</v>
      </c>
      <c r="J91">
        <v>35.36</v>
      </c>
      <c r="K91" t="str">
        <f>Table1[[#This Row],[Day]]&amp;"/"&amp;Table1[[#This Row],[Month]]&amp;"/"&amp;Table1[[#This Row],[Year]]</f>
        <v>4/3/2023</v>
      </c>
      <c r="L91" t="str">
        <f>TEXT(Table1[[#This Row],[Order Date]],"MMM")</f>
        <v>Mar</v>
      </c>
      <c r="M91">
        <f>YEAR(Table1[[#This Row],[Year]])</f>
        <v>1905</v>
      </c>
    </row>
    <row r="92" spans="1:13" x14ac:dyDescent="0.25">
      <c r="A92" t="s">
        <v>98</v>
      </c>
      <c r="B92">
        <v>3</v>
      </c>
      <c r="C92">
        <v>14</v>
      </c>
      <c r="D92">
        <v>2023</v>
      </c>
      <c r="E92" t="s">
        <v>634</v>
      </c>
      <c r="F92" t="s">
        <v>637</v>
      </c>
      <c r="G92" t="s">
        <v>650</v>
      </c>
      <c r="H92">
        <v>1</v>
      </c>
      <c r="I92">
        <v>1147.9100000000001</v>
      </c>
      <c r="J92">
        <v>271.89</v>
      </c>
      <c r="K92" t="str">
        <f>Table1[[#This Row],[Day]]&amp;"/"&amp;Table1[[#This Row],[Month]]&amp;"/"&amp;Table1[[#This Row],[Year]]</f>
        <v>14/3/2023</v>
      </c>
      <c r="L92" t="str">
        <f>TEXT(Table1[[#This Row],[Order Date]],"MMM")</f>
        <v>Mar</v>
      </c>
      <c r="M92">
        <f>YEAR(Table1[[#This Row],[Year]])</f>
        <v>1905</v>
      </c>
    </row>
    <row r="93" spans="1:13" x14ac:dyDescent="0.25">
      <c r="A93" t="s">
        <v>99</v>
      </c>
      <c r="B93">
        <v>1</v>
      </c>
      <c r="C93">
        <v>23</v>
      </c>
      <c r="D93">
        <v>2023</v>
      </c>
      <c r="E93" t="s">
        <v>634</v>
      </c>
      <c r="F93" t="s">
        <v>636</v>
      </c>
      <c r="G93" t="s">
        <v>639</v>
      </c>
      <c r="H93">
        <v>8</v>
      </c>
      <c r="I93">
        <v>8887.6</v>
      </c>
      <c r="J93">
        <v>2551.42</v>
      </c>
      <c r="K93" t="str">
        <f>Table1[[#This Row],[Day]]&amp;"/"&amp;Table1[[#This Row],[Month]]&amp;"/"&amp;Table1[[#This Row],[Year]]</f>
        <v>23/1/2023</v>
      </c>
      <c r="L93" t="str">
        <f>TEXT(Table1[[#This Row],[Order Date]],"MMM")</f>
        <v>Jan</v>
      </c>
      <c r="M93">
        <f>YEAR(Table1[[#This Row],[Year]])</f>
        <v>1905</v>
      </c>
    </row>
    <row r="94" spans="1:13" x14ac:dyDescent="0.25">
      <c r="A94" t="s">
        <v>100</v>
      </c>
      <c r="B94">
        <v>10</v>
      </c>
      <c r="C94">
        <v>13</v>
      </c>
      <c r="D94">
        <v>2023</v>
      </c>
      <c r="E94" t="s">
        <v>633</v>
      </c>
      <c r="F94" t="s">
        <v>637</v>
      </c>
      <c r="G94" t="s">
        <v>645</v>
      </c>
      <c r="H94">
        <v>6</v>
      </c>
      <c r="I94">
        <v>1562.46</v>
      </c>
      <c r="J94">
        <v>341.02</v>
      </c>
      <c r="K94" t="str">
        <f>Table1[[#This Row],[Day]]&amp;"/"&amp;Table1[[#This Row],[Month]]&amp;"/"&amp;Table1[[#This Row],[Year]]</f>
        <v>13/10/2023</v>
      </c>
      <c r="L94" t="str">
        <f>TEXT(Table1[[#This Row],[Order Date]],"MMM")</f>
        <v>Oct</v>
      </c>
      <c r="M94">
        <f>YEAR(Table1[[#This Row],[Year]])</f>
        <v>1905</v>
      </c>
    </row>
    <row r="95" spans="1:13" x14ac:dyDescent="0.25">
      <c r="A95" t="s">
        <v>101</v>
      </c>
      <c r="B95">
        <v>4</v>
      </c>
      <c r="C95">
        <v>26</v>
      </c>
      <c r="D95">
        <v>2022</v>
      </c>
      <c r="E95" t="s">
        <v>634</v>
      </c>
      <c r="F95" t="s">
        <v>637</v>
      </c>
      <c r="G95" t="s">
        <v>649</v>
      </c>
      <c r="H95">
        <v>3</v>
      </c>
      <c r="I95">
        <v>370.98</v>
      </c>
      <c r="J95">
        <v>106.26</v>
      </c>
      <c r="K95" t="str">
        <f>Table1[[#This Row],[Day]]&amp;"/"&amp;Table1[[#This Row],[Month]]&amp;"/"&amp;Table1[[#This Row],[Year]]</f>
        <v>26/4/2022</v>
      </c>
      <c r="L95" t="str">
        <f>TEXT(Table1[[#This Row],[Order Date]],"MMM")</f>
        <v>Apr</v>
      </c>
      <c r="M95">
        <f>YEAR(Table1[[#This Row],[Year]])</f>
        <v>1905</v>
      </c>
    </row>
    <row r="96" spans="1:13" x14ac:dyDescent="0.25">
      <c r="A96" t="s">
        <v>102</v>
      </c>
      <c r="B96">
        <v>2</v>
      </c>
      <c r="C96">
        <v>3</v>
      </c>
      <c r="D96">
        <v>2023</v>
      </c>
      <c r="E96" t="s">
        <v>634</v>
      </c>
      <c r="F96" t="s">
        <v>636</v>
      </c>
      <c r="G96" t="s">
        <v>647</v>
      </c>
      <c r="H96">
        <v>9</v>
      </c>
      <c r="I96">
        <v>1184.94</v>
      </c>
      <c r="J96">
        <v>230.86</v>
      </c>
      <c r="K96" t="str">
        <f>Table1[[#This Row],[Day]]&amp;"/"&amp;Table1[[#This Row],[Month]]&amp;"/"&amp;Table1[[#This Row],[Year]]</f>
        <v>3/2/2023</v>
      </c>
      <c r="L96" t="str">
        <f>TEXT(Table1[[#This Row],[Order Date]],"MMM")</f>
        <v>Feb</v>
      </c>
      <c r="M96">
        <f>YEAR(Table1[[#This Row],[Year]])</f>
        <v>1905</v>
      </c>
    </row>
    <row r="97" spans="1:13" x14ac:dyDescent="0.25">
      <c r="A97" t="s">
        <v>103</v>
      </c>
      <c r="B97">
        <v>11</v>
      </c>
      <c r="C97">
        <v>13</v>
      </c>
      <c r="D97">
        <v>2023</v>
      </c>
      <c r="E97" t="s">
        <v>632</v>
      </c>
      <c r="F97" t="s">
        <v>637</v>
      </c>
      <c r="G97" t="s">
        <v>640</v>
      </c>
      <c r="H97">
        <v>2</v>
      </c>
      <c r="I97">
        <v>771.86</v>
      </c>
      <c r="J97">
        <v>79.48</v>
      </c>
      <c r="K97" t="str">
        <f>Table1[[#This Row],[Day]]&amp;"/"&amp;Table1[[#This Row],[Month]]&amp;"/"&amp;Table1[[#This Row],[Year]]</f>
        <v>13/11/2023</v>
      </c>
      <c r="L97" t="str">
        <f>TEXT(Table1[[#This Row],[Order Date]],"MMM")</f>
        <v>Nov</v>
      </c>
      <c r="M97">
        <f>YEAR(Table1[[#This Row],[Year]])</f>
        <v>1905</v>
      </c>
    </row>
    <row r="98" spans="1:13" x14ac:dyDescent="0.25">
      <c r="A98" t="s">
        <v>104</v>
      </c>
      <c r="B98">
        <v>4</v>
      </c>
      <c r="C98">
        <v>9</v>
      </c>
      <c r="D98">
        <v>2023</v>
      </c>
      <c r="E98" t="s">
        <v>633</v>
      </c>
      <c r="F98" t="s">
        <v>638</v>
      </c>
      <c r="G98" t="s">
        <v>642</v>
      </c>
      <c r="H98">
        <v>7</v>
      </c>
      <c r="I98">
        <v>2979.41</v>
      </c>
      <c r="J98">
        <v>590.85</v>
      </c>
      <c r="K98" t="str">
        <f>Table1[[#This Row],[Day]]&amp;"/"&amp;Table1[[#This Row],[Month]]&amp;"/"&amp;Table1[[#This Row],[Year]]</f>
        <v>9/4/2023</v>
      </c>
      <c r="L98" t="str">
        <f>TEXT(Table1[[#This Row],[Order Date]],"MMM")</f>
        <v>Apr</v>
      </c>
      <c r="M98">
        <f>YEAR(Table1[[#This Row],[Year]])</f>
        <v>1905</v>
      </c>
    </row>
    <row r="99" spans="1:13" x14ac:dyDescent="0.25">
      <c r="A99" t="s">
        <v>105</v>
      </c>
      <c r="B99">
        <v>4</v>
      </c>
      <c r="C99">
        <v>27</v>
      </c>
      <c r="D99">
        <v>2022</v>
      </c>
      <c r="E99" t="s">
        <v>632</v>
      </c>
      <c r="F99" t="s">
        <v>636</v>
      </c>
      <c r="G99" t="s">
        <v>647</v>
      </c>
      <c r="H99">
        <v>8</v>
      </c>
      <c r="I99">
        <v>4234.16</v>
      </c>
      <c r="J99">
        <v>1205.29</v>
      </c>
      <c r="K99" t="str">
        <f>Table1[[#This Row],[Day]]&amp;"/"&amp;Table1[[#This Row],[Month]]&amp;"/"&amp;Table1[[#This Row],[Year]]</f>
        <v>27/4/2022</v>
      </c>
      <c r="L99" t="str">
        <f>TEXT(Table1[[#This Row],[Order Date]],"MMM")</f>
        <v>Apr</v>
      </c>
      <c r="M99">
        <f>YEAR(Table1[[#This Row],[Year]])</f>
        <v>1905</v>
      </c>
    </row>
    <row r="100" spans="1:13" x14ac:dyDescent="0.25">
      <c r="A100" t="s">
        <v>106</v>
      </c>
      <c r="B100">
        <v>10</v>
      </c>
      <c r="C100">
        <v>14</v>
      </c>
      <c r="D100">
        <v>2023</v>
      </c>
      <c r="E100" t="s">
        <v>633</v>
      </c>
      <c r="F100" t="s">
        <v>637</v>
      </c>
      <c r="G100" t="s">
        <v>645</v>
      </c>
      <c r="H100">
        <v>7</v>
      </c>
      <c r="I100">
        <v>5948.11</v>
      </c>
      <c r="J100">
        <v>681.74</v>
      </c>
      <c r="K100" t="str">
        <f>Table1[[#This Row],[Day]]&amp;"/"&amp;Table1[[#This Row],[Month]]&amp;"/"&amp;Table1[[#This Row],[Year]]</f>
        <v>14/10/2023</v>
      </c>
      <c r="L100" t="str">
        <f>TEXT(Table1[[#This Row],[Order Date]],"MMM")</f>
        <v>Oct</v>
      </c>
      <c r="M100">
        <f>YEAR(Table1[[#This Row],[Year]])</f>
        <v>1905</v>
      </c>
    </row>
    <row r="101" spans="1:13" x14ac:dyDescent="0.25">
      <c r="A101" t="s">
        <v>107</v>
      </c>
      <c r="B101">
        <v>8</v>
      </c>
      <c r="C101">
        <v>5</v>
      </c>
      <c r="D101">
        <v>2023</v>
      </c>
      <c r="E101" t="s">
        <v>635</v>
      </c>
      <c r="F101" t="s">
        <v>637</v>
      </c>
      <c r="G101" t="s">
        <v>649</v>
      </c>
      <c r="H101">
        <v>2</v>
      </c>
      <c r="I101">
        <v>2186.66</v>
      </c>
      <c r="J101">
        <v>192.45</v>
      </c>
      <c r="K101" t="str">
        <f>Table1[[#This Row],[Day]]&amp;"/"&amp;Table1[[#This Row],[Month]]&amp;"/"&amp;Table1[[#This Row],[Year]]</f>
        <v>5/8/2023</v>
      </c>
      <c r="L101" t="str">
        <f>TEXT(Table1[[#This Row],[Order Date]],"MMM")</f>
        <v>Aug</v>
      </c>
      <c r="M101">
        <f>YEAR(Table1[[#This Row],[Year]])</f>
        <v>1905</v>
      </c>
    </row>
    <row r="102" spans="1:13" x14ac:dyDescent="0.25">
      <c r="A102" t="s">
        <v>108</v>
      </c>
      <c r="B102">
        <v>5</v>
      </c>
      <c r="C102">
        <v>16</v>
      </c>
      <c r="D102">
        <v>2022</v>
      </c>
      <c r="E102" t="s">
        <v>633</v>
      </c>
      <c r="F102" t="s">
        <v>637</v>
      </c>
      <c r="G102" t="s">
        <v>640</v>
      </c>
      <c r="H102">
        <v>6</v>
      </c>
      <c r="I102">
        <v>8540.0400000000009</v>
      </c>
      <c r="J102">
        <v>2475.86</v>
      </c>
      <c r="K102" t="str">
        <f>Table1[[#This Row],[Day]]&amp;"/"&amp;Table1[[#This Row],[Month]]&amp;"/"&amp;Table1[[#This Row],[Year]]</f>
        <v>16/5/2022</v>
      </c>
      <c r="L102" t="str">
        <f>TEXT(Table1[[#This Row],[Order Date]],"MMM")</f>
        <v>May</v>
      </c>
      <c r="M102">
        <f>YEAR(Table1[[#This Row],[Year]])</f>
        <v>1905</v>
      </c>
    </row>
    <row r="103" spans="1:13" x14ac:dyDescent="0.25">
      <c r="A103" t="s">
        <v>109</v>
      </c>
      <c r="B103">
        <v>7</v>
      </c>
      <c r="C103">
        <v>30</v>
      </c>
      <c r="D103">
        <v>2022</v>
      </c>
      <c r="E103" t="s">
        <v>632</v>
      </c>
      <c r="F103" t="s">
        <v>638</v>
      </c>
      <c r="G103" t="s">
        <v>642</v>
      </c>
      <c r="H103">
        <v>2</v>
      </c>
      <c r="I103">
        <v>1298.22</v>
      </c>
      <c r="J103">
        <v>387.85</v>
      </c>
      <c r="K103" t="str">
        <f>Table1[[#This Row],[Day]]&amp;"/"&amp;Table1[[#This Row],[Month]]&amp;"/"&amp;Table1[[#This Row],[Year]]</f>
        <v>30/7/2022</v>
      </c>
      <c r="L103" t="str">
        <f>TEXT(Table1[[#This Row],[Order Date]],"MMM")</f>
        <v>Jul</v>
      </c>
      <c r="M103">
        <f>YEAR(Table1[[#This Row],[Year]])</f>
        <v>1905</v>
      </c>
    </row>
    <row r="104" spans="1:13" x14ac:dyDescent="0.25">
      <c r="A104" t="s">
        <v>110</v>
      </c>
      <c r="B104">
        <v>4</v>
      </c>
      <c r="C104">
        <v>27</v>
      </c>
      <c r="D104">
        <v>2022</v>
      </c>
      <c r="E104" t="s">
        <v>635</v>
      </c>
      <c r="F104" t="s">
        <v>638</v>
      </c>
      <c r="G104" t="s">
        <v>643</v>
      </c>
      <c r="H104">
        <v>9</v>
      </c>
      <c r="I104">
        <v>10985.58</v>
      </c>
      <c r="J104">
        <v>1929.06</v>
      </c>
      <c r="K104" t="str">
        <f>Table1[[#This Row],[Day]]&amp;"/"&amp;Table1[[#This Row],[Month]]&amp;"/"&amp;Table1[[#This Row],[Year]]</f>
        <v>27/4/2022</v>
      </c>
      <c r="L104" t="str">
        <f>TEXT(Table1[[#This Row],[Order Date]],"MMM")</f>
        <v>Apr</v>
      </c>
      <c r="M104">
        <f>YEAR(Table1[[#This Row],[Year]])</f>
        <v>1905</v>
      </c>
    </row>
    <row r="105" spans="1:13" x14ac:dyDescent="0.25">
      <c r="A105" t="s">
        <v>111</v>
      </c>
      <c r="B105">
        <v>2</v>
      </c>
      <c r="C105">
        <v>17</v>
      </c>
      <c r="D105">
        <v>2022</v>
      </c>
      <c r="E105" t="s">
        <v>633</v>
      </c>
      <c r="F105" t="s">
        <v>638</v>
      </c>
      <c r="G105" t="s">
        <v>643</v>
      </c>
      <c r="H105">
        <v>2</v>
      </c>
      <c r="I105">
        <v>1679.64</v>
      </c>
      <c r="J105">
        <v>154.69</v>
      </c>
      <c r="K105" t="str">
        <f>Table1[[#This Row],[Day]]&amp;"/"&amp;Table1[[#This Row],[Month]]&amp;"/"&amp;Table1[[#This Row],[Year]]</f>
        <v>17/2/2022</v>
      </c>
      <c r="L105" t="str">
        <f>TEXT(Table1[[#This Row],[Order Date]],"MMM")</f>
        <v>Feb</v>
      </c>
      <c r="M105">
        <f>YEAR(Table1[[#This Row],[Year]])</f>
        <v>1905</v>
      </c>
    </row>
    <row r="106" spans="1:13" x14ac:dyDescent="0.25">
      <c r="A106" t="s">
        <v>112</v>
      </c>
      <c r="B106">
        <v>3</v>
      </c>
      <c r="C106">
        <v>23</v>
      </c>
      <c r="D106">
        <v>2023</v>
      </c>
      <c r="E106" t="s">
        <v>634</v>
      </c>
      <c r="F106" t="s">
        <v>638</v>
      </c>
      <c r="G106" t="s">
        <v>644</v>
      </c>
      <c r="H106">
        <v>5</v>
      </c>
      <c r="I106">
        <v>1377.7</v>
      </c>
      <c r="J106">
        <v>69.180000000000007</v>
      </c>
      <c r="K106" t="str">
        <f>Table1[[#This Row],[Day]]&amp;"/"&amp;Table1[[#This Row],[Month]]&amp;"/"&amp;Table1[[#This Row],[Year]]</f>
        <v>23/3/2023</v>
      </c>
      <c r="L106" t="str">
        <f>TEXT(Table1[[#This Row],[Order Date]],"MMM")</f>
        <v>Mar</v>
      </c>
      <c r="M106">
        <f>YEAR(Table1[[#This Row],[Year]])</f>
        <v>1905</v>
      </c>
    </row>
    <row r="107" spans="1:13" x14ac:dyDescent="0.25">
      <c r="A107" t="s">
        <v>113</v>
      </c>
      <c r="B107">
        <v>7</v>
      </c>
      <c r="C107">
        <v>5</v>
      </c>
      <c r="D107">
        <v>2022</v>
      </c>
      <c r="E107" t="s">
        <v>633</v>
      </c>
      <c r="F107" t="s">
        <v>636</v>
      </c>
      <c r="G107" t="s">
        <v>641</v>
      </c>
      <c r="H107">
        <v>9</v>
      </c>
      <c r="I107">
        <v>12013.29</v>
      </c>
      <c r="J107">
        <v>1491.41</v>
      </c>
      <c r="K107" t="str">
        <f>Table1[[#This Row],[Day]]&amp;"/"&amp;Table1[[#This Row],[Month]]&amp;"/"&amp;Table1[[#This Row],[Year]]</f>
        <v>5/7/2022</v>
      </c>
      <c r="L107" t="str">
        <f>TEXT(Table1[[#This Row],[Order Date]],"MMM")</f>
        <v>Jul</v>
      </c>
      <c r="M107">
        <f>YEAR(Table1[[#This Row],[Year]])</f>
        <v>1905</v>
      </c>
    </row>
    <row r="108" spans="1:13" x14ac:dyDescent="0.25">
      <c r="A108" t="s">
        <v>114</v>
      </c>
      <c r="B108">
        <v>6</v>
      </c>
      <c r="C108">
        <v>24</v>
      </c>
      <c r="D108">
        <v>2022</v>
      </c>
      <c r="E108" t="s">
        <v>633</v>
      </c>
      <c r="F108" t="s">
        <v>638</v>
      </c>
      <c r="G108" t="s">
        <v>643</v>
      </c>
      <c r="H108">
        <v>8</v>
      </c>
      <c r="I108">
        <v>4943.04</v>
      </c>
      <c r="J108">
        <v>1361.2</v>
      </c>
      <c r="K108" t="str">
        <f>Table1[[#This Row],[Day]]&amp;"/"&amp;Table1[[#This Row],[Month]]&amp;"/"&amp;Table1[[#This Row],[Year]]</f>
        <v>24/6/2022</v>
      </c>
      <c r="L108" t="str">
        <f>TEXT(Table1[[#This Row],[Order Date]],"MMM")</f>
        <v>Jun</v>
      </c>
      <c r="M108">
        <f>YEAR(Table1[[#This Row],[Year]])</f>
        <v>1905</v>
      </c>
    </row>
    <row r="109" spans="1:13" x14ac:dyDescent="0.25">
      <c r="A109" t="s">
        <v>115</v>
      </c>
      <c r="B109">
        <v>12</v>
      </c>
      <c r="C109">
        <v>12</v>
      </c>
      <c r="D109">
        <v>2022</v>
      </c>
      <c r="E109" t="s">
        <v>634</v>
      </c>
      <c r="F109" t="s">
        <v>638</v>
      </c>
      <c r="G109" t="s">
        <v>644</v>
      </c>
      <c r="H109">
        <v>9</v>
      </c>
      <c r="I109">
        <v>6198.3</v>
      </c>
      <c r="J109">
        <v>885.01</v>
      </c>
      <c r="K109" t="str">
        <f>Table1[[#This Row],[Day]]&amp;"/"&amp;Table1[[#This Row],[Month]]&amp;"/"&amp;Table1[[#This Row],[Year]]</f>
        <v>12/12/2022</v>
      </c>
      <c r="L109" t="str">
        <f>TEXT(Table1[[#This Row],[Order Date]],"MMM")</f>
        <v>Dec</v>
      </c>
      <c r="M109">
        <f>YEAR(Table1[[#This Row],[Year]])</f>
        <v>1905</v>
      </c>
    </row>
    <row r="110" spans="1:13" x14ac:dyDescent="0.25">
      <c r="A110" t="s">
        <v>116</v>
      </c>
      <c r="B110">
        <v>8</v>
      </c>
      <c r="C110">
        <v>11</v>
      </c>
      <c r="D110">
        <v>2022</v>
      </c>
      <c r="E110" t="s">
        <v>635</v>
      </c>
      <c r="F110" t="s">
        <v>636</v>
      </c>
      <c r="G110" t="s">
        <v>639</v>
      </c>
      <c r="H110">
        <v>7</v>
      </c>
      <c r="I110">
        <v>8562.5400000000009</v>
      </c>
      <c r="J110">
        <v>2211.1799999999998</v>
      </c>
      <c r="K110" t="str">
        <f>Table1[[#This Row],[Day]]&amp;"/"&amp;Table1[[#This Row],[Month]]&amp;"/"&amp;Table1[[#This Row],[Year]]</f>
        <v>11/8/2022</v>
      </c>
      <c r="L110" t="str">
        <f>TEXT(Table1[[#This Row],[Order Date]],"MMM")</f>
        <v>Aug</v>
      </c>
      <c r="M110">
        <f>YEAR(Table1[[#This Row],[Year]])</f>
        <v>1905</v>
      </c>
    </row>
    <row r="111" spans="1:13" x14ac:dyDescent="0.25">
      <c r="A111" t="s">
        <v>117</v>
      </c>
      <c r="B111">
        <v>1</v>
      </c>
      <c r="C111">
        <v>8</v>
      </c>
      <c r="D111">
        <v>2022</v>
      </c>
      <c r="E111" t="s">
        <v>635</v>
      </c>
      <c r="F111" t="s">
        <v>637</v>
      </c>
      <c r="G111" t="s">
        <v>640</v>
      </c>
      <c r="H111">
        <v>7</v>
      </c>
      <c r="I111">
        <v>1372.28</v>
      </c>
      <c r="J111">
        <v>160.88</v>
      </c>
      <c r="K111" t="str">
        <f>Table1[[#This Row],[Day]]&amp;"/"&amp;Table1[[#This Row],[Month]]&amp;"/"&amp;Table1[[#This Row],[Year]]</f>
        <v>8/1/2022</v>
      </c>
      <c r="L111" t="str">
        <f>TEXT(Table1[[#This Row],[Order Date]],"MMM")</f>
        <v>Jan</v>
      </c>
      <c r="M111">
        <f>YEAR(Table1[[#This Row],[Year]])</f>
        <v>1905</v>
      </c>
    </row>
    <row r="112" spans="1:13" x14ac:dyDescent="0.25">
      <c r="A112" t="s">
        <v>118</v>
      </c>
      <c r="B112">
        <v>8</v>
      </c>
      <c r="C112">
        <v>5</v>
      </c>
      <c r="D112">
        <v>2022</v>
      </c>
      <c r="E112" t="s">
        <v>635</v>
      </c>
      <c r="F112" t="s">
        <v>638</v>
      </c>
      <c r="G112" t="s">
        <v>642</v>
      </c>
      <c r="H112">
        <v>4</v>
      </c>
      <c r="I112">
        <v>4087.32</v>
      </c>
      <c r="J112">
        <v>229.62</v>
      </c>
      <c r="K112" t="str">
        <f>Table1[[#This Row],[Day]]&amp;"/"&amp;Table1[[#This Row],[Month]]&amp;"/"&amp;Table1[[#This Row],[Year]]</f>
        <v>5/8/2022</v>
      </c>
      <c r="L112" t="str">
        <f>TEXT(Table1[[#This Row],[Order Date]],"MMM")</f>
        <v>Aug</v>
      </c>
      <c r="M112">
        <f>YEAR(Table1[[#This Row],[Year]])</f>
        <v>1905</v>
      </c>
    </row>
    <row r="113" spans="1:13" x14ac:dyDescent="0.25">
      <c r="A113" t="s">
        <v>119</v>
      </c>
      <c r="B113">
        <v>1</v>
      </c>
      <c r="C113">
        <v>16</v>
      </c>
      <c r="D113">
        <v>2023</v>
      </c>
      <c r="E113" t="s">
        <v>632</v>
      </c>
      <c r="F113" t="s">
        <v>636</v>
      </c>
      <c r="G113" t="s">
        <v>648</v>
      </c>
      <c r="H113">
        <v>5</v>
      </c>
      <c r="I113">
        <v>2782.4</v>
      </c>
      <c r="J113">
        <v>617.16999999999996</v>
      </c>
      <c r="K113" t="str">
        <f>Table1[[#This Row],[Day]]&amp;"/"&amp;Table1[[#This Row],[Month]]&amp;"/"&amp;Table1[[#This Row],[Year]]</f>
        <v>16/1/2023</v>
      </c>
      <c r="L113" t="str">
        <f>TEXT(Table1[[#This Row],[Order Date]],"MMM")</f>
        <v>Jan</v>
      </c>
      <c r="M113">
        <f>YEAR(Table1[[#This Row],[Year]])</f>
        <v>1905</v>
      </c>
    </row>
    <row r="114" spans="1:13" x14ac:dyDescent="0.25">
      <c r="A114" t="s">
        <v>120</v>
      </c>
      <c r="B114">
        <v>8</v>
      </c>
      <c r="C114">
        <v>20</v>
      </c>
      <c r="D114">
        <v>2023</v>
      </c>
      <c r="E114" t="s">
        <v>635</v>
      </c>
      <c r="F114" t="s">
        <v>637</v>
      </c>
      <c r="G114" t="s">
        <v>645</v>
      </c>
      <c r="H114">
        <v>8</v>
      </c>
      <c r="I114">
        <v>1151.52</v>
      </c>
      <c r="J114">
        <v>181.14</v>
      </c>
      <c r="K114" t="str">
        <f>Table1[[#This Row],[Day]]&amp;"/"&amp;Table1[[#This Row],[Month]]&amp;"/"&amp;Table1[[#This Row],[Year]]</f>
        <v>20/8/2023</v>
      </c>
      <c r="L114" t="str">
        <f>TEXT(Table1[[#This Row],[Order Date]],"MMM")</f>
        <v>Aug</v>
      </c>
      <c r="M114">
        <f>YEAR(Table1[[#This Row],[Year]])</f>
        <v>1905</v>
      </c>
    </row>
    <row r="115" spans="1:13" x14ac:dyDescent="0.25">
      <c r="A115" t="s">
        <v>121</v>
      </c>
      <c r="B115">
        <v>9</v>
      </c>
      <c r="C115">
        <v>26</v>
      </c>
      <c r="D115">
        <v>2022</v>
      </c>
      <c r="E115" t="s">
        <v>632</v>
      </c>
      <c r="F115" t="s">
        <v>638</v>
      </c>
      <c r="G115" t="s">
        <v>643</v>
      </c>
      <c r="H115">
        <v>6</v>
      </c>
      <c r="I115">
        <v>3190.26</v>
      </c>
      <c r="J115">
        <v>941.25</v>
      </c>
      <c r="K115" t="str">
        <f>Table1[[#This Row],[Day]]&amp;"/"&amp;Table1[[#This Row],[Month]]&amp;"/"&amp;Table1[[#This Row],[Year]]</f>
        <v>26/9/2022</v>
      </c>
      <c r="L115" t="str">
        <f>TEXT(Table1[[#This Row],[Order Date]],"MMM")</f>
        <v>Sep</v>
      </c>
      <c r="M115">
        <f>YEAR(Table1[[#This Row],[Year]])</f>
        <v>1905</v>
      </c>
    </row>
    <row r="116" spans="1:13" x14ac:dyDescent="0.25">
      <c r="A116" t="s">
        <v>122</v>
      </c>
      <c r="B116">
        <v>4</v>
      </c>
      <c r="C116">
        <v>3</v>
      </c>
      <c r="D116">
        <v>2022</v>
      </c>
      <c r="E116" t="s">
        <v>632</v>
      </c>
      <c r="F116" t="s">
        <v>638</v>
      </c>
      <c r="G116" t="s">
        <v>642</v>
      </c>
      <c r="H116">
        <v>8</v>
      </c>
      <c r="I116">
        <v>3340.64</v>
      </c>
      <c r="J116">
        <v>676.35</v>
      </c>
      <c r="K116" t="str">
        <f>Table1[[#This Row],[Day]]&amp;"/"&amp;Table1[[#This Row],[Month]]&amp;"/"&amp;Table1[[#This Row],[Year]]</f>
        <v>3/4/2022</v>
      </c>
      <c r="L116" t="str">
        <f>TEXT(Table1[[#This Row],[Order Date]],"MMM")</f>
        <v>Apr</v>
      </c>
      <c r="M116">
        <f>YEAR(Table1[[#This Row],[Year]])</f>
        <v>1905</v>
      </c>
    </row>
    <row r="117" spans="1:13" x14ac:dyDescent="0.25">
      <c r="A117" t="s">
        <v>123</v>
      </c>
      <c r="B117">
        <v>9</v>
      </c>
      <c r="C117">
        <v>2</v>
      </c>
      <c r="D117">
        <v>2023</v>
      </c>
      <c r="E117" t="s">
        <v>635</v>
      </c>
      <c r="F117" t="s">
        <v>638</v>
      </c>
      <c r="G117" t="s">
        <v>644</v>
      </c>
      <c r="H117">
        <v>5</v>
      </c>
      <c r="I117">
        <v>1227.05</v>
      </c>
      <c r="J117">
        <v>114.16</v>
      </c>
      <c r="K117" t="str">
        <f>Table1[[#This Row],[Day]]&amp;"/"&amp;Table1[[#This Row],[Month]]&amp;"/"&amp;Table1[[#This Row],[Year]]</f>
        <v>2/9/2023</v>
      </c>
      <c r="L117" t="str">
        <f>TEXT(Table1[[#This Row],[Order Date]],"MMM")</f>
        <v>Sep</v>
      </c>
      <c r="M117">
        <f>YEAR(Table1[[#This Row],[Year]])</f>
        <v>1905</v>
      </c>
    </row>
    <row r="118" spans="1:13" x14ac:dyDescent="0.25">
      <c r="A118" t="s">
        <v>124</v>
      </c>
      <c r="B118">
        <v>1</v>
      </c>
      <c r="C118">
        <v>7</v>
      </c>
      <c r="D118">
        <v>2023</v>
      </c>
      <c r="E118" t="s">
        <v>634</v>
      </c>
      <c r="F118" t="s">
        <v>638</v>
      </c>
      <c r="G118" t="s">
        <v>644</v>
      </c>
      <c r="H118">
        <v>9</v>
      </c>
      <c r="I118">
        <v>3797.91</v>
      </c>
      <c r="J118">
        <v>1120.7</v>
      </c>
      <c r="K118" t="str">
        <f>Table1[[#This Row],[Day]]&amp;"/"&amp;Table1[[#This Row],[Month]]&amp;"/"&amp;Table1[[#This Row],[Year]]</f>
        <v>7/1/2023</v>
      </c>
      <c r="L118" t="str">
        <f>TEXT(Table1[[#This Row],[Order Date]],"MMM")</f>
        <v>Jan</v>
      </c>
      <c r="M118">
        <f>YEAR(Table1[[#This Row],[Year]])</f>
        <v>1905</v>
      </c>
    </row>
    <row r="119" spans="1:13" x14ac:dyDescent="0.25">
      <c r="A119" t="s">
        <v>125</v>
      </c>
      <c r="B119">
        <v>8</v>
      </c>
      <c r="C119">
        <v>18</v>
      </c>
      <c r="D119">
        <v>2023</v>
      </c>
      <c r="E119" t="s">
        <v>632</v>
      </c>
      <c r="F119" t="s">
        <v>636</v>
      </c>
      <c r="G119" t="s">
        <v>639</v>
      </c>
      <c r="H119">
        <v>6</v>
      </c>
      <c r="I119">
        <v>6821.94</v>
      </c>
      <c r="J119">
        <v>969.94</v>
      </c>
      <c r="K119" t="str">
        <f>Table1[[#This Row],[Day]]&amp;"/"&amp;Table1[[#This Row],[Month]]&amp;"/"&amp;Table1[[#This Row],[Year]]</f>
        <v>18/8/2023</v>
      </c>
      <c r="L119" t="str">
        <f>TEXT(Table1[[#This Row],[Order Date]],"MMM")</f>
        <v>Aug</v>
      </c>
      <c r="M119">
        <f>YEAR(Table1[[#This Row],[Year]])</f>
        <v>1905</v>
      </c>
    </row>
    <row r="120" spans="1:13" x14ac:dyDescent="0.25">
      <c r="A120" t="s">
        <v>126</v>
      </c>
      <c r="B120">
        <v>7</v>
      </c>
      <c r="C120">
        <v>7</v>
      </c>
      <c r="D120">
        <v>2022</v>
      </c>
      <c r="E120" t="s">
        <v>633</v>
      </c>
      <c r="F120" t="s">
        <v>636</v>
      </c>
      <c r="G120" t="s">
        <v>641</v>
      </c>
      <c r="H120">
        <v>2</v>
      </c>
      <c r="I120">
        <v>1370.98</v>
      </c>
      <c r="J120">
        <v>258.04000000000002</v>
      </c>
      <c r="K120" t="str">
        <f>Table1[[#This Row],[Day]]&amp;"/"&amp;Table1[[#This Row],[Month]]&amp;"/"&amp;Table1[[#This Row],[Year]]</f>
        <v>7/7/2022</v>
      </c>
      <c r="L120" t="str">
        <f>TEXT(Table1[[#This Row],[Order Date]],"MMM")</f>
        <v>Jul</v>
      </c>
      <c r="M120">
        <f>YEAR(Table1[[#This Row],[Year]])</f>
        <v>1905</v>
      </c>
    </row>
    <row r="121" spans="1:13" x14ac:dyDescent="0.25">
      <c r="A121" t="s">
        <v>127</v>
      </c>
      <c r="B121">
        <v>2</v>
      </c>
      <c r="C121">
        <v>13</v>
      </c>
      <c r="D121">
        <v>2022</v>
      </c>
      <c r="E121" t="s">
        <v>634</v>
      </c>
      <c r="F121" t="s">
        <v>637</v>
      </c>
      <c r="G121" t="s">
        <v>649</v>
      </c>
      <c r="H121">
        <v>5</v>
      </c>
      <c r="I121">
        <v>2134.4499999999998</v>
      </c>
      <c r="J121">
        <v>623.41</v>
      </c>
      <c r="K121" t="str">
        <f>Table1[[#This Row],[Day]]&amp;"/"&amp;Table1[[#This Row],[Month]]&amp;"/"&amp;Table1[[#This Row],[Year]]</f>
        <v>13/2/2022</v>
      </c>
      <c r="L121" t="str">
        <f>TEXT(Table1[[#This Row],[Order Date]],"MMM")</f>
        <v>Feb</v>
      </c>
      <c r="M121">
        <f>YEAR(Table1[[#This Row],[Year]])</f>
        <v>1905</v>
      </c>
    </row>
    <row r="122" spans="1:13" x14ac:dyDescent="0.25">
      <c r="A122" t="s">
        <v>128</v>
      </c>
      <c r="B122">
        <v>12</v>
      </c>
      <c r="C122">
        <v>24</v>
      </c>
      <c r="D122">
        <v>2022</v>
      </c>
      <c r="E122" t="s">
        <v>635</v>
      </c>
      <c r="F122" t="s">
        <v>636</v>
      </c>
      <c r="G122" t="s">
        <v>641</v>
      </c>
      <c r="H122">
        <v>8</v>
      </c>
      <c r="I122">
        <v>2821.6</v>
      </c>
      <c r="J122">
        <v>808.7</v>
      </c>
      <c r="K122" t="str">
        <f>Table1[[#This Row],[Day]]&amp;"/"&amp;Table1[[#This Row],[Month]]&amp;"/"&amp;Table1[[#This Row],[Year]]</f>
        <v>24/12/2022</v>
      </c>
      <c r="L122" t="str">
        <f>TEXT(Table1[[#This Row],[Order Date]],"MMM")</f>
        <v>Dec</v>
      </c>
      <c r="M122">
        <f>YEAR(Table1[[#This Row],[Year]])</f>
        <v>1905</v>
      </c>
    </row>
    <row r="123" spans="1:13" x14ac:dyDescent="0.25">
      <c r="A123" t="s">
        <v>129</v>
      </c>
      <c r="B123">
        <v>6</v>
      </c>
      <c r="C123">
        <v>19</v>
      </c>
      <c r="D123">
        <v>2022</v>
      </c>
      <c r="E123" t="s">
        <v>635</v>
      </c>
      <c r="F123" t="s">
        <v>638</v>
      </c>
      <c r="G123" t="s">
        <v>646</v>
      </c>
      <c r="H123">
        <v>3</v>
      </c>
      <c r="I123">
        <v>105.84</v>
      </c>
      <c r="J123">
        <v>6.88</v>
      </c>
      <c r="K123" t="str">
        <f>Table1[[#This Row],[Day]]&amp;"/"&amp;Table1[[#This Row],[Month]]&amp;"/"&amp;Table1[[#This Row],[Year]]</f>
        <v>19/6/2022</v>
      </c>
      <c r="L123" t="str">
        <f>TEXT(Table1[[#This Row],[Order Date]],"MMM")</f>
        <v>Jun</v>
      </c>
      <c r="M123">
        <f>YEAR(Table1[[#This Row],[Year]])</f>
        <v>1905</v>
      </c>
    </row>
    <row r="124" spans="1:13" x14ac:dyDescent="0.25">
      <c r="A124" t="s">
        <v>130</v>
      </c>
      <c r="B124">
        <v>11</v>
      </c>
      <c r="C124">
        <v>11</v>
      </c>
      <c r="D124">
        <v>2022</v>
      </c>
      <c r="E124" t="s">
        <v>635</v>
      </c>
      <c r="F124" t="s">
        <v>638</v>
      </c>
      <c r="G124" t="s">
        <v>642</v>
      </c>
      <c r="H124">
        <v>2</v>
      </c>
      <c r="I124">
        <v>2892.62</v>
      </c>
      <c r="J124">
        <v>738.44</v>
      </c>
      <c r="K124" t="str">
        <f>Table1[[#This Row],[Day]]&amp;"/"&amp;Table1[[#This Row],[Month]]&amp;"/"&amp;Table1[[#This Row],[Year]]</f>
        <v>11/11/2022</v>
      </c>
      <c r="L124" t="str">
        <f>TEXT(Table1[[#This Row],[Order Date]],"MMM")</f>
        <v>Nov</v>
      </c>
      <c r="M124">
        <f>YEAR(Table1[[#This Row],[Year]])</f>
        <v>1905</v>
      </c>
    </row>
    <row r="125" spans="1:13" x14ac:dyDescent="0.25">
      <c r="A125" t="s">
        <v>131</v>
      </c>
      <c r="B125">
        <v>10</v>
      </c>
      <c r="C125">
        <v>23</v>
      </c>
      <c r="D125">
        <v>2023</v>
      </c>
      <c r="E125" t="s">
        <v>634</v>
      </c>
      <c r="F125" t="s">
        <v>636</v>
      </c>
      <c r="G125" t="s">
        <v>648</v>
      </c>
      <c r="H125">
        <v>2</v>
      </c>
      <c r="I125">
        <v>2097.58</v>
      </c>
      <c r="J125">
        <v>474.38</v>
      </c>
      <c r="K125" t="str">
        <f>Table1[[#This Row],[Day]]&amp;"/"&amp;Table1[[#This Row],[Month]]&amp;"/"&amp;Table1[[#This Row],[Year]]</f>
        <v>23/10/2023</v>
      </c>
      <c r="L125" t="str">
        <f>TEXT(Table1[[#This Row],[Order Date]],"MMM")</f>
        <v>Oct</v>
      </c>
      <c r="M125">
        <f>YEAR(Table1[[#This Row],[Year]])</f>
        <v>1905</v>
      </c>
    </row>
    <row r="126" spans="1:13" x14ac:dyDescent="0.25">
      <c r="A126" t="s">
        <v>132</v>
      </c>
      <c r="B126">
        <v>6</v>
      </c>
      <c r="C126">
        <v>15</v>
      </c>
      <c r="D126">
        <v>2023</v>
      </c>
      <c r="E126" t="s">
        <v>634</v>
      </c>
      <c r="F126" t="s">
        <v>637</v>
      </c>
      <c r="G126" t="s">
        <v>645</v>
      </c>
      <c r="H126">
        <v>1</v>
      </c>
      <c r="I126">
        <v>391.78</v>
      </c>
      <c r="J126">
        <v>115.28</v>
      </c>
      <c r="K126" t="str">
        <f>Table1[[#This Row],[Day]]&amp;"/"&amp;Table1[[#This Row],[Month]]&amp;"/"&amp;Table1[[#This Row],[Year]]</f>
        <v>15/6/2023</v>
      </c>
      <c r="L126" t="str">
        <f>TEXT(Table1[[#This Row],[Order Date]],"MMM")</f>
        <v>Jun</v>
      </c>
      <c r="M126">
        <f>YEAR(Table1[[#This Row],[Year]])</f>
        <v>1905</v>
      </c>
    </row>
    <row r="127" spans="1:13" x14ac:dyDescent="0.25">
      <c r="A127" t="s">
        <v>133</v>
      </c>
      <c r="B127">
        <v>1</v>
      </c>
      <c r="C127">
        <v>21</v>
      </c>
      <c r="D127">
        <v>2022</v>
      </c>
      <c r="E127" t="s">
        <v>632</v>
      </c>
      <c r="F127" t="s">
        <v>637</v>
      </c>
      <c r="G127" t="s">
        <v>640</v>
      </c>
      <c r="H127">
        <v>3</v>
      </c>
      <c r="I127">
        <v>2707.32</v>
      </c>
      <c r="J127">
        <v>180.12</v>
      </c>
      <c r="K127" t="str">
        <f>Table1[[#This Row],[Day]]&amp;"/"&amp;Table1[[#This Row],[Month]]&amp;"/"&amp;Table1[[#This Row],[Year]]</f>
        <v>21/1/2022</v>
      </c>
      <c r="L127" t="str">
        <f>TEXT(Table1[[#This Row],[Order Date]],"MMM")</f>
        <v>Jan</v>
      </c>
      <c r="M127">
        <f>YEAR(Table1[[#This Row],[Year]])</f>
        <v>1905</v>
      </c>
    </row>
    <row r="128" spans="1:13" x14ac:dyDescent="0.25">
      <c r="A128" t="s">
        <v>134</v>
      </c>
      <c r="B128">
        <v>8</v>
      </c>
      <c r="C128">
        <v>16</v>
      </c>
      <c r="D128">
        <v>2023</v>
      </c>
      <c r="E128" t="s">
        <v>635</v>
      </c>
      <c r="F128" t="s">
        <v>637</v>
      </c>
      <c r="G128" t="s">
        <v>649</v>
      </c>
      <c r="H128">
        <v>5</v>
      </c>
      <c r="I128">
        <v>3344</v>
      </c>
      <c r="J128">
        <v>942.05</v>
      </c>
      <c r="K128" t="str">
        <f>Table1[[#This Row],[Day]]&amp;"/"&amp;Table1[[#This Row],[Month]]&amp;"/"&amp;Table1[[#This Row],[Year]]</f>
        <v>16/8/2023</v>
      </c>
      <c r="L128" t="str">
        <f>TEXT(Table1[[#This Row],[Order Date]],"MMM")</f>
        <v>Aug</v>
      </c>
      <c r="M128">
        <f>YEAR(Table1[[#This Row],[Year]])</f>
        <v>1905</v>
      </c>
    </row>
    <row r="129" spans="1:13" x14ac:dyDescent="0.25">
      <c r="A129" t="s">
        <v>135</v>
      </c>
      <c r="B129">
        <v>12</v>
      </c>
      <c r="C129">
        <v>8</v>
      </c>
      <c r="D129">
        <v>2022</v>
      </c>
      <c r="E129" t="s">
        <v>634</v>
      </c>
      <c r="F129" t="s">
        <v>637</v>
      </c>
      <c r="G129" t="s">
        <v>650</v>
      </c>
      <c r="H129">
        <v>9</v>
      </c>
      <c r="I129">
        <v>10681.29</v>
      </c>
      <c r="J129">
        <v>2960.45</v>
      </c>
      <c r="K129" t="str">
        <f>Table1[[#This Row],[Day]]&amp;"/"&amp;Table1[[#This Row],[Month]]&amp;"/"&amp;Table1[[#This Row],[Year]]</f>
        <v>8/12/2022</v>
      </c>
      <c r="L129" t="str">
        <f>TEXT(Table1[[#This Row],[Order Date]],"MMM")</f>
        <v>Dec</v>
      </c>
      <c r="M129">
        <f>YEAR(Table1[[#This Row],[Year]])</f>
        <v>1905</v>
      </c>
    </row>
    <row r="130" spans="1:13" x14ac:dyDescent="0.25">
      <c r="A130" t="s">
        <v>136</v>
      </c>
      <c r="B130">
        <v>1</v>
      </c>
      <c r="C130">
        <v>22</v>
      </c>
      <c r="D130">
        <v>2023</v>
      </c>
      <c r="E130" t="s">
        <v>632</v>
      </c>
      <c r="F130" t="s">
        <v>636</v>
      </c>
      <c r="G130" t="s">
        <v>639</v>
      </c>
      <c r="H130">
        <v>2</v>
      </c>
      <c r="I130">
        <v>240.48</v>
      </c>
      <c r="J130">
        <v>53.76</v>
      </c>
      <c r="K130" t="str">
        <f>Table1[[#This Row],[Day]]&amp;"/"&amp;Table1[[#This Row],[Month]]&amp;"/"&amp;Table1[[#This Row],[Year]]</f>
        <v>22/1/2023</v>
      </c>
      <c r="L130" t="str">
        <f>TEXT(Table1[[#This Row],[Order Date]],"MMM")</f>
        <v>Jan</v>
      </c>
      <c r="M130">
        <f>YEAR(Table1[[#This Row],[Year]])</f>
        <v>1905</v>
      </c>
    </row>
    <row r="131" spans="1:13" x14ac:dyDescent="0.25">
      <c r="A131" t="s">
        <v>137</v>
      </c>
      <c r="B131">
        <v>9</v>
      </c>
      <c r="C131">
        <v>29</v>
      </c>
      <c r="D131">
        <v>2022</v>
      </c>
      <c r="E131" t="s">
        <v>632</v>
      </c>
      <c r="F131" t="s">
        <v>637</v>
      </c>
      <c r="G131" t="s">
        <v>640</v>
      </c>
      <c r="H131">
        <v>6</v>
      </c>
      <c r="I131">
        <v>7296.06</v>
      </c>
      <c r="J131">
        <v>486.92</v>
      </c>
      <c r="K131" t="str">
        <f>Table1[[#This Row],[Day]]&amp;"/"&amp;Table1[[#This Row],[Month]]&amp;"/"&amp;Table1[[#This Row],[Year]]</f>
        <v>29/9/2022</v>
      </c>
      <c r="L131" t="str">
        <f>TEXT(Table1[[#This Row],[Order Date]],"MMM")</f>
        <v>Sep</v>
      </c>
      <c r="M131">
        <f>YEAR(Table1[[#This Row],[Year]])</f>
        <v>1905</v>
      </c>
    </row>
    <row r="132" spans="1:13" x14ac:dyDescent="0.25">
      <c r="A132" t="s">
        <v>138</v>
      </c>
      <c r="B132">
        <v>12</v>
      </c>
      <c r="C132">
        <v>4</v>
      </c>
      <c r="D132">
        <v>2022</v>
      </c>
      <c r="E132" t="s">
        <v>633</v>
      </c>
      <c r="F132" t="s">
        <v>638</v>
      </c>
      <c r="G132" t="s">
        <v>643</v>
      </c>
      <c r="H132">
        <v>7</v>
      </c>
      <c r="I132">
        <v>8371.58</v>
      </c>
      <c r="J132">
        <v>2104.08</v>
      </c>
      <c r="K132" t="str">
        <f>Table1[[#This Row],[Day]]&amp;"/"&amp;Table1[[#This Row],[Month]]&amp;"/"&amp;Table1[[#This Row],[Year]]</f>
        <v>4/12/2022</v>
      </c>
      <c r="L132" t="str">
        <f>TEXT(Table1[[#This Row],[Order Date]],"MMM")</f>
        <v>Dec</v>
      </c>
      <c r="M132">
        <f>YEAR(Table1[[#This Row],[Year]])</f>
        <v>1905</v>
      </c>
    </row>
    <row r="133" spans="1:13" x14ac:dyDescent="0.25">
      <c r="A133" t="s">
        <v>139</v>
      </c>
      <c r="B133">
        <v>4</v>
      </c>
      <c r="C133">
        <v>12</v>
      </c>
      <c r="D133">
        <v>2023</v>
      </c>
      <c r="E133" t="s">
        <v>632</v>
      </c>
      <c r="F133" t="s">
        <v>636</v>
      </c>
      <c r="G133" t="s">
        <v>647</v>
      </c>
      <c r="H133">
        <v>2</v>
      </c>
      <c r="I133">
        <v>810.36</v>
      </c>
      <c r="J133">
        <v>203.34</v>
      </c>
      <c r="K133" t="str">
        <f>Table1[[#This Row],[Day]]&amp;"/"&amp;Table1[[#This Row],[Month]]&amp;"/"&amp;Table1[[#This Row],[Year]]</f>
        <v>12/4/2023</v>
      </c>
      <c r="L133" t="str">
        <f>TEXT(Table1[[#This Row],[Order Date]],"MMM")</f>
        <v>Apr</v>
      </c>
      <c r="M133">
        <f>YEAR(Table1[[#This Row],[Year]])</f>
        <v>1905</v>
      </c>
    </row>
    <row r="134" spans="1:13" x14ac:dyDescent="0.25">
      <c r="A134" t="s">
        <v>140</v>
      </c>
      <c r="B134">
        <v>1</v>
      </c>
      <c r="C134">
        <v>30</v>
      </c>
      <c r="D134">
        <v>2023</v>
      </c>
      <c r="E134" t="s">
        <v>632</v>
      </c>
      <c r="F134" t="s">
        <v>637</v>
      </c>
      <c r="G134" t="s">
        <v>645</v>
      </c>
      <c r="H134">
        <v>5</v>
      </c>
      <c r="I134">
        <v>7294.85</v>
      </c>
      <c r="J134">
        <v>559.71</v>
      </c>
      <c r="K134" t="str">
        <f>Table1[[#This Row],[Day]]&amp;"/"&amp;Table1[[#This Row],[Month]]&amp;"/"&amp;Table1[[#This Row],[Year]]</f>
        <v>30/1/2023</v>
      </c>
      <c r="L134" t="str">
        <f>TEXT(Table1[[#This Row],[Order Date]],"MMM")</f>
        <v>Jan</v>
      </c>
      <c r="M134">
        <f>YEAR(Table1[[#This Row],[Year]])</f>
        <v>1905</v>
      </c>
    </row>
    <row r="135" spans="1:13" x14ac:dyDescent="0.25">
      <c r="A135" t="s">
        <v>141</v>
      </c>
      <c r="B135">
        <v>10</v>
      </c>
      <c r="C135">
        <v>11</v>
      </c>
      <c r="D135">
        <v>2022</v>
      </c>
      <c r="E135" t="s">
        <v>635</v>
      </c>
      <c r="F135" t="s">
        <v>637</v>
      </c>
      <c r="G135" t="s">
        <v>640</v>
      </c>
      <c r="H135">
        <v>7</v>
      </c>
      <c r="I135">
        <v>6133.47</v>
      </c>
      <c r="J135">
        <v>1403.41</v>
      </c>
      <c r="K135" t="str">
        <f>Table1[[#This Row],[Day]]&amp;"/"&amp;Table1[[#This Row],[Month]]&amp;"/"&amp;Table1[[#This Row],[Year]]</f>
        <v>11/10/2022</v>
      </c>
      <c r="L135" t="str">
        <f>TEXT(Table1[[#This Row],[Order Date]],"MMM")</f>
        <v>Oct</v>
      </c>
      <c r="M135">
        <f>YEAR(Table1[[#This Row],[Year]])</f>
        <v>1905</v>
      </c>
    </row>
    <row r="136" spans="1:13" x14ac:dyDescent="0.25">
      <c r="A136" t="s">
        <v>142</v>
      </c>
      <c r="B136">
        <v>8</v>
      </c>
      <c r="C136">
        <v>17</v>
      </c>
      <c r="D136">
        <v>2022</v>
      </c>
      <c r="E136" t="s">
        <v>633</v>
      </c>
      <c r="F136" t="s">
        <v>638</v>
      </c>
      <c r="G136" t="s">
        <v>643</v>
      </c>
      <c r="H136">
        <v>7</v>
      </c>
      <c r="I136">
        <v>8296.68</v>
      </c>
      <c r="J136">
        <v>519.72</v>
      </c>
      <c r="K136" t="str">
        <f>Table1[[#This Row],[Day]]&amp;"/"&amp;Table1[[#This Row],[Month]]&amp;"/"&amp;Table1[[#This Row],[Year]]</f>
        <v>17/8/2022</v>
      </c>
      <c r="L136" t="str">
        <f>TEXT(Table1[[#This Row],[Order Date]],"MMM")</f>
        <v>Aug</v>
      </c>
      <c r="M136">
        <f>YEAR(Table1[[#This Row],[Year]])</f>
        <v>1905</v>
      </c>
    </row>
    <row r="137" spans="1:13" x14ac:dyDescent="0.25">
      <c r="A137" t="s">
        <v>143</v>
      </c>
      <c r="B137">
        <v>7</v>
      </c>
      <c r="C137">
        <v>20</v>
      </c>
      <c r="D137">
        <v>2022</v>
      </c>
      <c r="E137" t="s">
        <v>635</v>
      </c>
      <c r="F137" t="s">
        <v>638</v>
      </c>
      <c r="G137" t="s">
        <v>642</v>
      </c>
      <c r="H137">
        <v>6</v>
      </c>
      <c r="I137">
        <v>641.52</v>
      </c>
      <c r="J137">
        <v>187.26</v>
      </c>
      <c r="K137" t="str">
        <f>Table1[[#This Row],[Day]]&amp;"/"&amp;Table1[[#This Row],[Month]]&amp;"/"&amp;Table1[[#This Row],[Year]]</f>
        <v>20/7/2022</v>
      </c>
      <c r="L137" t="str">
        <f>TEXT(Table1[[#This Row],[Order Date]],"MMM")</f>
        <v>Jul</v>
      </c>
      <c r="M137">
        <f>YEAR(Table1[[#This Row],[Year]])</f>
        <v>1905</v>
      </c>
    </row>
    <row r="138" spans="1:13" x14ac:dyDescent="0.25">
      <c r="A138" t="s">
        <v>144</v>
      </c>
      <c r="B138">
        <v>3</v>
      </c>
      <c r="C138">
        <v>1</v>
      </c>
      <c r="D138">
        <v>2022</v>
      </c>
      <c r="E138" t="s">
        <v>634</v>
      </c>
      <c r="F138" t="s">
        <v>636</v>
      </c>
      <c r="G138" t="s">
        <v>648</v>
      </c>
      <c r="H138">
        <v>6</v>
      </c>
      <c r="I138">
        <v>3223.38</v>
      </c>
      <c r="J138">
        <v>282.76</v>
      </c>
      <c r="K138" t="str">
        <f>Table1[[#This Row],[Day]]&amp;"/"&amp;Table1[[#This Row],[Month]]&amp;"/"&amp;Table1[[#This Row],[Year]]</f>
        <v>1/3/2022</v>
      </c>
      <c r="L138" t="str">
        <f>TEXT(Table1[[#This Row],[Order Date]],"MMM")</f>
        <v>Mar</v>
      </c>
      <c r="M138">
        <f>YEAR(Table1[[#This Row],[Year]])</f>
        <v>1905</v>
      </c>
    </row>
    <row r="139" spans="1:13" x14ac:dyDescent="0.25">
      <c r="A139" t="s">
        <v>145</v>
      </c>
      <c r="B139">
        <v>1</v>
      </c>
      <c r="C139">
        <v>5</v>
      </c>
      <c r="D139">
        <v>2022</v>
      </c>
      <c r="E139" t="s">
        <v>632</v>
      </c>
      <c r="F139" t="s">
        <v>636</v>
      </c>
      <c r="G139" t="s">
        <v>639</v>
      </c>
      <c r="H139">
        <v>6</v>
      </c>
      <c r="I139">
        <v>1982.94</v>
      </c>
      <c r="J139">
        <v>362.12</v>
      </c>
      <c r="K139" t="str">
        <f>Table1[[#This Row],[Day]]&amp;"/"&amp;Table1[[#This Row],[Month]]&amp;"/"&amp;Table1[[#This Row],[Year]]</f>
        <v>5/1/2022</v>
      </c>
      <c r="L139" t="str">
        <f>TEXT(Table1[[#This Row],[Order Date]],"MMM")</f>
        <v>Jan</v>
      </c>
      <c r="M139">
        <f>YEAR(Table1[[#This Row],[Year]])</f>
        <v>1905</v>
      </c>
    </row>
    <row r="140" spans="1:13" x14ac:dyDescent="0.25">
      <c r="A140" t="s">
        <v>146</v>
      </c>
      <c r="B140">
        <v>2</v>
      </c>
      <c r="C140">
        <v>15</v>
      </c>
      <c r="D140">
        <v>2022</v>
      </c>
      <c r="E140" t="s">
        <v>634</v>
      </c>
      <c r="F140" t="s">
        <v>636</v>
      </c>
      <c r="G140" t="s">
        <v>639</v>
      </c>
      <c r="H140">
        <v>7</v>
      </c>
      <c r="I140">
        <v>9461.69</v>
      </c>
      <c r="J140">
        <v>2219.2600000000002</v>
      </c>
      <c r="K140" t="str">
        <f>Table1[[#This Row],[Day]]&amp;"/"&amp;Table1[[#This Row],[Month]]&amp;"/"&amp;Table1[[#This Row],[Year]]</f>
        <v>15/2/2022</v>
      </c>
      <c r="L140" t="str">
        <f>TEXT(Table1[[#This Row],[Order Date]],"MMM")</f>
        <v>Feb</v>
      </c>
      <c r="M140">
        <f>YEAR(Table1[[#This Row],[Year]])</f>
        <v>1905</v>
      </c>
    </row>
    <row r="141" spans="1:13" x14ac:dyDescent="0.25">
      <c r="A141" t="s">
        <v>147</v>
      </c>
      <c r="B141">
        <v>3</v>
      </c>
      <c r="C141">
        <v>9</v>
      </c>
      <c r="D141">
        <v>2023</v>
      </c>
      <c r="E141" t="s">
        <v>632</v>
      </c>
      <c r="F141" t="s">
        <v>636</v>
      </c>
      <c r="G141" t="s">
        <v>639</v>
      </c>
      <c r="H141">
        <v>2</v>
      </c>
      <c r="I141">
        <v>1667.1</v>
      </c>
      <c r="J141">
        <v>303.26</v>
      </c>
      <c r="K141" t="str">
        <f>Table1[[#This Row],[Day]]&amp;"/"&amp;Table1[[#This Row],[Month]]&amp;"/"&amp;Table1[[#This Row],[Year]]</f>
        <v>9/3/2023</v>
      </c>
      <c r="L141" t="str">
        <f>TEXT(Table1[[#This Row],[Order Date]],"MMM")</f>
        <v>Mar</v>
      </c>
      <c r="M141">
        <f>YEAR(Table1[[#This Row],[Year]])</f>
        <v>1905</v>
      </c>
    </row>
    <row r="142" spans="1:13" x14ac:dyDescent="0.25">
      <c r="A142" t="s">
        <v>148</v>
      </c>
      <c r="B142">
        <v>11</v>
      </c>
      <c r="C142">
        <v>8</v>
      </c>
      <c r="D142">
        <v>2022</v>
      </c>
      <c r="E142" t="s">
        <v>635</v>
      </c>
      <c r="F142" t="s">
        <v>638</v>
      </c>
      <c r="G142" t="s">
        <v>643</v>
      </c>
      <c r="H142">
        <v>5</v>
      </c>
      <c r="I142">
        <v>3883.4</v>
      </c>
      <c r="J142">
        <v>541.24</v>
      </c>
      <c r="K142" t="str">
        <f>Table1[[#This Row],[Day]]&amp;"/"&amp;Table1[[#This Row],[Month]]&amp;"/"&amp;Table1[[#This Row],[Year]]</f>
        <v>8/11/2022</v>
      </c>
      <c r="L142" t="str">
        <f>TEXT(Table1[[#This Row],[Order Date]],"MMM")</f>
        <v>Nov</v>
      </c>
      <c r="M142">
        <f>YEAR(Table1[[#This Row],[Year]])</f>
        <v>1905</v>
      </c>
    </row>
    <row r="143" spans="1:13" x14ac:dyDescent="0.25">
      <c r="A143" t="s">
        <v>149</v>
      </c>
      <c r="B143">
        <v>2</v>
      </c>
      <c r="C143">
        <v>17</v>
      </c>
      <c r="D143">
        <v>2023</v>
      </c>
      <c r="E143" t="s">
        <v>635</v>
      </c>
      <c r="F143" t="s">
        <v>638</v>
      </c>
      <c r="G143" t="s">
        <v>646</v>
      </c>
      <c r="H143">
        <v>7</v>
      </c>
      <c r="I143">
        <v>9611.42</v>
      </c>
      <c r="J143">
        <v>756.15</v>
      </c>
      <c r="K143" t="str">
        <f>Table1[[#This Row],[Day]]&amp;"/"&amp;Table1[[#This Row],[Month]]&amp;"/"&amp;Table1[[#This Row],[Year]]</f>
        <v>17/2/2023</v>
      </c>
      <c r="L143" t="str">
        <f>TEXT(Table1[[#This Row],[Order Date]],"MMM")</f>
        <v>Feb</v>
      </c>
      <c r="M143">
        <f>YEAR(Table1[[#This Row],[Year]])</f>
        <v>1905</v>
      </c>
    </row>
    <row r="144" spans="1:13" x14ac:dyDescent="0.25">
      <c r="A144" t="s">
        <v>150</v>
      </c>
      <c r="B144">
        <v>1</v>
      </c>
      <c r="C144">
        <v>12</v>
      </c>
      <c r="D144">
        <v>2023</v>
      </c>
      <c r="E144" t="s">
        <v>632</v>
      </c>
      <c r="F144" t="s">
        <v>637</v>
      </c>
      <c r="G144" t="s">
        <v>645</v>
      </c>
      <c r="H144">
        <v>3</v>
      </c>
      <c r="I144">
        <v>3440.43</v>
      </c>
      <c r="J144">
        <v>904.66</v>
      </c>
      <c r="K144" t="str">
        <f>Table1[[#This Row],[Day]]&amp;"/"&amp;Table1[[#This Row],[Month]]&amp;"/"&amp;Table1[[#This Row],[Year]]</f>
        <v>12/1/2023</v>
      </c>
      <c r="L144" t="str">
        <f>TEXT(Table1[[#This Row],[Order Date]],"MMM")</f>
        <v>Jan</v>
      </c>
      <c r="M144">
        <f>YEAR(Table1[[#This Row],[Year]])</f>
        <v>1905</v>
      </c>
    </row>
    <row r="145" spans="1:13" x14ac:dyDescent="0.25">
      <c r="A145" t="s">
        <v>151</v>
      </c>
      <c r="B145">
        <v>2</v>
      </c>
      <c r="C145">
        <v>2</v>
      </c>
      <c r="D145">
        <v>2023</v>
      </c>
      <c r="E145" t="s">
        <v>634</v>
      </c>
      <c r="F145" t="s">
        <v>638</v>
      </c>
      <c r="G145" t="s">
        <v>643</v>
      </c>
      <c r="H145">
        <v>7</v>
      </c>
      <c r="I145">
        <v>3426.43</v>
      </c>
      <c r="J145">
        <v>260.83999999999997</v>
      </c>
      <c r="K145" t="str">
        <f>Table1[[#This Row],[Day]]&amp;"/"&amp;Table1[[#This Row],[Month]]&amp;"/"&amp;Table1[[#This Row],[Year]]</f>
        <v>2/2/2023</v>
      </c>
      <c r="L145" t="str">
        <f>TEXT(Table1[[#This Row],[Order Date]],"MMM")</f>
        <v>Feb</v>
      </c>
      <c r="M145">
        <f>YEAR(Table1[[#This Row],[Year]])</f>
        <v>1905</v>
      </c>
    </row>
    <row r="146" spans="1:13" x14ac:dyDescent="0.25">
      <c r="A146" t="s">
        <v>152</v>
      </c>
      <c r="B146">
        <v>7</v>
      </c>
      <c r="C146">
        <v>28</v>
      </c>
      <c r="D146">
        <v>2023</v>
      </c>
      <c r="E146" t="s">
        <v>635</v>
      </c>
      <c r="F146" t="s">
        <v>637</v>
      </c>
      <c r="G146" t="s">
        <v>640</v>
      </c>
      <c r="H146">
        <v>7</v>
      </c>
      <c r="I146">
        <v>5894.84</v>
      </c>
      <c r="J146">
        <v>1715.18</v>
      </c>
      <c r="K146" t="str">
        <f>Table1[[#This Row],[Day]]&amp;"/"&amp;Table1[[#This Row],[Month]]&amp;"/"&amp;Table1[[#This Row],[Year]]</f>
        <v>28/7/2023</v>
      </c>
      <c r="L146" t="str">
        <f>TEXT(Table1[[#This Row],[Order Date]],"MMM")</f>
        <v>Jul</v>
      </c>
      <c r="M146">
        <f>YEAR(Table1[[#This Row],[Year]])</f>
        <v>1905</v>
      </c>
    </row>
    <row r="147" spans="1:13" x14ac:dyDescent="0.25">
      <c r="A147" t="s">
        <v>153</v>
      </c>
      <c r="B147">
        <v>10</v>
      </c>
      <c r="C147">
        <v>3</v>
      </c>
      <c r="D147">
        <v>2022</v>
      </c>
      <c r="E147" t="s">
        <v>634</v>
      </c>
      <c r="F147" t="s">
        <v>638</v>
      </c>
      <c r="G147" t="s">
        <v>644</v>
      </c>
      <c r="H147">
        <v>1</v>
      </c>
      <c r="I147">
        <v>1494.67</v>
      </c>
      <c r="J147">
        <v>377.94</v>
      </c>
      <c r="K147" t="str">
        <f>Table1[[#This Row],[Day]]&amp;"/"&amp;Table1[[#This Row],[Month]]&amp;"/"&amp;Table1[[#This Row],[Year]]</f>
        <v>3/10/2022</v>
      </c>
      <c r="L147" t="str">
        <f>TEXT(Table1[[#This Row],[Order Date]],"MMM")</f>
        <v>Oct</v>
      </c>
      <c r="M147">
        <f>YEAR(Table1[[#This Row],[Year]])</f>
        <v>1905</v>
      </c>
    </row>
    <row r="148" spans="1:13" x14ac:dyDescent="0.25">
      <c r="A148" t="s">
        <v>154</v>
      </c>
      <c r="B148">
        <v>8</v>
      </c>
      <c r="C148">
        <v>2</v>
      </c>
      <c r="D148">
        <v>2022</v>
      </c>
      <c r="E148" t="s">
        <v>633</v>
      </c>
      <c r="F148" t="s">
        <v>638</v>
      </c>
      <c r="G148" t="s">
        <v>643</v>
      </c>
      <c r="H148">
        <v>9</v>
      </c>
      <c r="I148">
        <v>6296.58</v>
      </c>
      <c r="J148">
        <v>1585.94</v>
      </c>
      <c r="K148" t="str">
        <f>Table1[[#This Row],[Day]]&amp;"/"&amp;Table1[[#This Row],[Month]]&amp;"/"&amp;Table1[[#This Row],[Year]]</f>
        <v>2/8/2022</v>
      </c>
      <c r="L148" t="str">
        <f>TEXT(Table1[[#This Row],[Order Date]],"MMM")</f>
        <v>Aug</v>
      </c>
      <c r="M148">
        <f>YEAR(Table1[[#This Row],[Year]])</f>
        <v>1905</v>
      </c>
    </row>
    <row r="149" spans="1:13" x14ac:dyDescent="0.25">
      <c r="A149" t="s">
        <v>155</v>
      </c>
      <c r="B149">
        <v>1</v>
      </c>
      <c r="C149">
        <v>17</v>
      </c>
      <c r="D149">
        <v>2022</v>
      </c>
      <c r="E149" t="s">
        <v>635</v>
      </c>
      <c r="F149" t="s">
        <v>637</v>
      </c>
      <c r="G149" t="s">
        <v>640</v>
      </c>
      <c r="H149">
        <v>5</v>
      </c>
      <c r="I149">
        <v>7263</v>
      </c>
      <c r="J149">
        <v>1649.03</v>
      </c>
      <c r="K149" t="str">
        <f>Table1[[#This Row],[Day]]&amp;"/"&amp;Table1[[#This Row],[Month]]&amp;"/"&amp;Table1[[#This Row],[Year]]</f>
        <v>17/1/2022</v>
      </c>
      <c r="L149" t="str">
        <f>TEXT(Table1[[#This Row],[Order Date]],"MMM")</f>
        <v>Jan</v>
      </c>
      <c r="M149">
        <f>YEAR(Table1[[#This Row],[Year]])</f>
        <v>1905</v>
      </c>
    </row>
    <row r="150" spans="1:13" x14ac:dyDescent="0.25">
      <c r="A150" t="s">
        <v>156</v>
      </c>
      <c r="B150">
        <v>11</v>
      </c>
      <c r="C150">
        <v>13</v>
      </c>
      <c r="D150">
        <v>2023</v>
      </c>
      <c r="E150" t="s">
        <v>632</v>
      </c>
      <c r="F150" t="s">
        <v>638</v>
      </c>
      <c r="G150" t="s">
        <v>642</v>
      </c>
      <c r="H150">
        <v>8</v>
      </c>
      <c r="I150">
        <v>7507.04</v>
      </c>
      <c r="J150">
        <v>871</v>
      </c>
      <c r="K150" t="str">
        <f>Table1[[#This Row],[Day]]&amp;"/"&amp;Table1[[#This Row],[Month]]&amp;"/"&amp;Table1[[#This Row],[Year]]</f>
        <v>13/11/2023</v>
      </c>
      <c r="L150" t="str">
        <f>TEXT(Table1[[#This Row],[Order Date]],"MMM")</f>
        <v>Nov</v>
      </c>
      <c r="M150">
        <f>YEAR(Table1[[#This Row],[Year]])</f>
        <v>1905</v>
      </c>
    </row>
    <row r="151" spans="1:13" x14ac:dyDescent="0.25">
      <c r="A151" t="s">
        <v>157</v>
      </c>
      <c r="B151">
        <v>10</v>
      </c>
      <c r="C151">
        <v>24</v>
      </c>
      <c r="D151">
        <v>2022</v>
      </c>
      <c r="E151" t="s">
        <v>635</v>
      </c>
      <c r="F151" t="s">
        <v>637</v>
      </c>
      <c r="G151" t="s">
        <v>650</v>
      </c>
      <c r="H151">
        <v>1</v>
      </c>
      <c r="I151">
        <v>476.45</v>
      </c>
      <c r="J151">
        <v>63.3</v>
      </c>
      <c r="K151" t="str">
        <f>Table1[[#This Row],[Day]]&amp;"/"&amp;Table1[[#This Row],[Month]]&amp;"/"&amp;Table1[[#This Row],[Year]]</f>
        <v>24/10/2022</v>
      </c>
      <c r="L151" t="str">
        <f>TEXT(Table1[[#This Row],[Order Date]],"MMM")</f>
        <v>Oct</v>
      </c>
      <c r="M151">
        <f>YEAR(Table1[[#This Row],[Year]])</f>
        <v>1905</v>
      </c>
    </row>
    <row r="152" spans="1:13" x14ac:dyDescent="0.25">
      <c r="A152" t="s">
        <v>158</v>
      </c>
      <c r="B152">
        <v>6</v>
      </c>
      <c r="C152">
        <v>10</v>
      </c>
      <c r="D152">
        <v>2023</v>
      </c>
      <c r="E152" t="s">
        <v>635</v>
      </c>
      <c r="F152" t="s">
        <v>637</v>
      </c>
      <c r="G152" t="s">
        <v>640</v>
      </c>
      <c r="H152">
        <v>9</v>
      </c>
      <c r="I152">
        <v>4602.0600000000004</v>
      </c>
      <c r="J152">
        <v>1165.51</v>
      </c>
      <c r="K152" t="str">
        <f>Table1[[#This Row],[Day]]&amp;"/"&amp;Table1[[#This Row],[Month]]&amp;"/"&amp;Table1[[#This Row],[Year]]</f>
        <v>10/6/2023</v>
      </c>
      <c r="L152" t="str">
        <f>TEXT(Table1[[#This Row],[Order Date]],"MMM")</f>
        <v>Jun</v>
      </c>
      <c r="M152">
        <f>YEAR(Table1[[#This Row],[Year]])</f>
        <v>1905</v>
      </c>
    </row>
    <row r="153" spans="1:13" x14ac:dyDescent="0.25">
      <c r="A153" t="s">
        <v>159</v>
      </c>
      <c r="B153">
        <v>10</v>
      </c>
      <c r="C153">
        <v>11</v>
      </c>
      <c r="D153">
        <v>2022</v>
      </c>
      <c r="E153" t="s">
        <v>635</v>
      </c>
      <c r="F153" t="s">
        <v>636</v>
      </c>
      <c r="G153" t="s">
        <v>648</v>
      </c>
      <c r="H153">
        <v>5</v>
      </c>
      <c r="I153">
        <v>4281.2</v>
      </c>
      <c r="J153">
        <v>776.07</v>
      </c>
      <c r="K153" t="str">
        <f>Table1[[#This Row],[Day]]&amp;"/"&amp;Table1[[#This Row],[Month]]&amp;"/"&amp;Table1[[#This Row],[Year]]</f>
        <v>11/10/2022</v>
      </c>
      <c r="L153" t="str">
        <f>TEXT(Table1[[#This Row],[Order Date]],"MMM")</f>
        <v>Oct</v>
      </c>
      <c r="M153">
        <f>YEAR(Table1[[#This Row],[Year]])</f>
        <v>1905</v>
      </c>
    </row>
    <row r="154" spans="1:13" x14ac:dyDescent="0.25">
      <c r="A154" t="s">
        <v>160</v>
      </c>
      <c r="B154">
        <v>10</v>
      </c>
      <c r="C154">
        <v>31</v>
      </c>
      <c r="D154">
        <v>2022</v>
      </c>
      <c r="E154" t="s">
        <v>633</v>
      </c>
      <c r="F154" t="s">
        <v>636</v>
      </c>
      <c r="G154" t="s">
        <v>641</v>
      </c>
      <c r="H154">
        <v>8</v>
      </c>
      <c r="I154">
        <v>3598.4</v>
      </c>
      <c r="J154">
        <v>958.75</v>
      </c>
      <c r="K154" t="str">
        <f>Table1[[#This Row],[Day]]&amp;"/"&amp;Table1[[#This Row],[Month]]&amp;"/"&amp;Table1[[#This Row],[Year]]</f>
        <v>31/10/2022</v>
      </c>
      <c r="L154" t="str">
        <f>TEXT(Table1[[#This Row],[Order Date]],"MMM")</f>
        <v>Oct</v>
      </c>
      <c r="M154">
        <f>YEAR(Table1[[#This Row],[Year]])</f>
        <v>1905</v>
      </c>
    </row>
    <row r="155" spans="1:13" x14ac:dyDescent="0.25">
      <c r="A155" t="s">
        <v>161</v>
      </c>
      <c r="B155">
        <v>5</v>
      </c>
      <c r="C155">
        <v>15</v>
      </c>
      <c r="D155">
        <v>2023</v>
      </c>
      <c r="E155" t="s">
        <v>635</v>
      </c>
      <c r="F155" t="s">
        <v>636</v>
      </c>
      <c r="G155" t="s">
        <v>647</v>
      </c>
      <c r="H155">
        <v>6</v>
      </c>
      <c r="I155">
        <v>4702.74</v>
      </c>
      <c r="J155">
        <v>619.95000000000005</v>
      </c>
      <c r="K155" t="str">
        <f>Table1[[#This Row],[Day]]&amp;"/"&amp;Table1[[#This Row],[Month]]&amp;"/"&amp;Table1[[#This Row],[Year]]</f>
        <v>15/5/2023</v>
      </c>
      <c r="L155" t="str">
        <f>TEXT(Table1[[#This Row],[Order Date]],"MMM")</f>
        <v>May</v>
      </c>
      <c r="M155">
        <f>YEAR(Table1[[#This Row],[Year]])</f>
        <v>1905</v>
      </c>
    </row>
    <row r="156" spans="1:13" x14ac:dyDescent="0.25">
      <c r="A156" t="s">
        <v>162</v>
      </c>
      <c r="B156">
        <v>8</v>
      </c>
      <c r="C156">
        <v>4</v>
      </c>
      <c r="D156">
        <v>2022</v>
      </c>
      <c r="E156" t="s">
        <v>633</v>
      </c>
      <c r="F156" t="s">
        <v>638</v>
      </c>
      <c r="G156" t="s">
        <v>646</v>
      </c>
      <c r="H156">
        <v>3</v>
      </c>
      <c r="I156">
        <v>3866.28</v>
      </c>
      <c r="J156">
        <v>1136.94</v>
      </c>
      <c r="K156" t="str">
        <f>Table1[[#This Row],[Day]]&amp;"/"&amp;Table1[[#This Row],[Month]]&amp;"/"&amp;Table1[[#This Row],[Year]]</f>
        <v>4/8/2022</v>
      </c>
      <c r="L156" t="str">
        <f>TEXT(Table1[[#This Row],[Order Date]],"MMM")</f>
        <v>Aug</v>
      </c>
      <c r="M156">
        <f>YEAR(Table1[[#This Row],[Year]])</f>
        <v>1905</v>
      </c>
    </row>
    <row r="157" spans="1:13" x14ac:dyDescent="0.25">
      <c r="A157" t="s">
        <v>163</v>
      </c>
      <c r="B157">
        <v>10</v>
      </c>
      <c r="C157">
        <v>21</v>
      </c>
      <c r="D157">
        <v>2022</v>
      </c>
      <c r="E157" t="s">
        <v>632</v>
      </c>
      <c r="F157" t="s">
        <v>638</v>
      </c>
      <c r="G157" t="s">
        <v>642</v>
      </c>
      <c r="H157">
        <v>3</v>
      </c>
      <c r="I157">
        <v>2719.98</v>
      </c>
      <c r="J157">
        <v>243.28</v>
      </c>
      <c r="K157" t="str">
        <f>Table1[[#This Row],[Day]]&amp;"/"&amp;Table1[[#This Row],[Month]]&amp;"/"&amp;Table1[[#This Row],[Year]]</f>
        <v>21/10/2022</v>
      </c>
      <c r="L157" t="str">
        <f>TEXT(Table1[[#This Row],[Order Date]],"MMM")</f>
        <v>Oct</v>
      </c>
      <c r="M157">
        <f>YEAR(Table1[[#This Row],[Year]])</f>
        <v>1905</v>
      </c>
    </row>
    <row r="158" spans="1:13" x14ac:dyDescent="0.25">
      <c r="A158" t="s">
        <v>164</v>
      </c>
      <c r="B158">
        <v>6</v>
      </c>
      <c r="C158">
        <v>14</v>
      </c>
      <c r="D158">
        <v>2022</v>
      </c>
      <c r="E158" t="s">
        <v>635</v>
      </c>
      <c r="F158" t="s">
        <v>636</v>
      </c>
      <c r="G158" t="s">
        <v>641</v>
      </c>
      <c r="H158">
        <v>5</v>
      </c>
      <c r="I158">
        <v>6622.5</v>
      </c>
      <c r="J158">
        <v>827.96</v>
      </c>
      <c r="K158" t="str">
        <f>Table1[[#This Row],[Day]]&amp;"/"&amp;Table1[[#This Row],[Month]]&amp;"/"&amp;Table1[[#This Row],[Year]]</f>
        <v>14/6/2022</v>
      </c>
      <c r="L158" t="str">
        <f>TEXT(Table1[[#This Row],[Order Date]],"MMM")</f>
        <v>Jun</v>
      </c>
      <c r="M158">
        <f>YEAR(Table1[[#This Row],[Year]])</f>
        <v>1905</v>
      </c>
    </row>
    <row r="159" spans="1:13" x14ac:dyDescent="0.25">
      <c r="A159" t="s">
        <v>165</v>
      </c>
      <c r="B159">
        <v>5</v>
      </c>
      <c r="C159">
        <v>8</v>
      </c>
      <c r="D159">
        <v>2023</v>
      </c>
      <c r="E159" t="s">
        <v>632</v>
      </c>
      <c r="F159" t="s">
        <v>638</v>
      </c>
      <c r="G159" t="s">
        <v>643</v>
      </c>
      <c r="H159">
        <v>5</v>
      </c>
      <c r="I159">
        <v>7204.8</v>
      </c>
      <c r="J159">
        <v>2152.52</v>
      </c>
      <c r="K159" t="str">
        <f>Table1[[#This Row],[Day]]&amp;"/"&amp;Table1[[#This Row],[Month]]&amp;"/"&amp;Table1[[#This Row],[Year]]</f>
        <v>8/5/2023</v>
      </c>
      <c r="L159" t="str">
        <f>TEXT(Table1[[#This Row],[Order Date]],"MMM")</f>
        <v>May</v>
      </c>
      <c r="M159">
        <f>YEAR(Table1[[#This Row],[Year]])</f>
        <v>1905</v>
      </c>
    </row>
    <row r="160" spans="1:13" x14ac:dyDescent="0.25">
      <c r="A160" t="s">
        <v>166</v>
      </c>
      <c r="B160">
        <v>12</v>
      </c>
      <c r="C160">
        <v>25</v>
      </c>
      <c r="D160">
        <v>2023</v>
      </c>
      <c r="E160" t="s">
        <v>632</v>
      </c>
      <c r="F160" t="s">
        <v>637</v>
      </c>
      <c r="G160" t="s">
        <v>645</v>
      </c>
      <c r="H160">
        <v>1</v>
      </c>
      <c r="I160">
        <v>934.17</v>
      </c>
      <c r="J160">
        <v>193.1</v>
      </c>
      <c r="K160" t="str">
        <f>Table1[[#This Row],[Day]]&amp;"/"&amp;Table1[[#This Row],[Month]]&amp;"/"&amp;Table1[[#This Row],[Year]]</f>
        <v>25/12/2023</v>
      </c>
      <c r="L160" t="str">
        <f>TEXT(Table1[[#This Row],[Order Date]],"MMM")</f>
        <v>Dec</v>
      </c>
      <c r="M160">
        <f>YEAR(Table1[[#This Row],[Year]])</f>
        <v>1905</v>
      </c>
    </row>
    <row r="161" spans="1:13" x14ac:dyDescent="0.25">
      <c r="A161" t="s">
        <v>167</v>
      </c>
      <c r="B161">
        <v>6</v>
      </c>
      <c r="C161">
        <v>24</v>
      </c>
      <c r="D161">
        <v>2022</v>
      </c>
      <c r="E161" t="s">
        <v>632</v>
      </c>
      <c r="F161" t="s">
        <v>637</v>
      </c>
      <c r="G161" t="s">
        <v>649</v>
      </c>
      <c r="H161">
        <v>5</v>
      </c>
      <c r="I161">
        <v>7006.75</v>
      </c>
      <c r="J161">
        <v>595.91</v>
      </c>
      <c r="K161" t="str">
        <f>Table1[[#This Row],[Day]]&amp;"/"&amp;Table1[[#This Row],[Month]]&amp;"/"&amp;Table1[[#This Row],[Year]]</f>
        <v>24/6/2022</v>
      </c>
      <c r="L161" t="str">
        <f>TEXT(Table1[[#This Row],[Order Date]],"MMM")</f>
        <v>Jun</v>
      </c>
      <c r="M161">
        <f>YEAR(Table1[[#This Row],[Year]])</f>
        <v>1905</v>
      </c>
    </row>
    <row r="162" spans="1:13" x14ac:dyDescent="0.25">
      <c r="A162" t="s">
        <v>168</v>
      </c>
      <c r="B162">
        <v>12</v>
      </c>
      <c r="C162">
        <v>21</v>
      </c>
      <c r="D162">
        <v>2022</v>
      </c>
      <c r="E162" t="s">
        <v>634</v>
      </c>
      <c r="F162" t="s">
        <v>637</v>
      </c>
      <c r="G162" t="s">
        <v>649</v>
      </c>
      <c r="H162">
        <v>2</v>
      </c>
      <c r="I162">
        <v>2818.82</v>
      </c>
      <c r="J162">
        <v>640.27</v>
      </c>
      <c r="K162" t="str">
        <f>Table1[[#This Row],[Day]]&amp;"/"&amp;Table1[[#This Row],[Month]]&amp;"/"&amp;Table1[[#This Row],[Year]]</f>
        <v>21/12/2022</v>
      </c>
      <c r="L162" t="str">
        <f>TEXT(Table1[[#This Row],[Order Date]],"MMM")</f>
        <v>Dec</v>
      </c>
      <c r="M162">
        <f>YEAR(Table1[[#This Row],[Year]])</f>
        <v>1905</v>
      </c>
    </row>
    <row r="163" spans="1:13" x14ac:dyDescent="0.25">
      <c r="A163" t="s">
        <v>169</v>
      </c>
      <c r="B163">
        <v>11</v>
      </c>
      <c r="C163">
        <v>18</v>
      </c>
      <c r="D163">
        <v>2023</v>
      </c>
      <c r="E163" t="s">
        <v>632</v>
      </c>
      <c r="F163" t="s">
        <v>638</v>
      </c>
      <c r="G163" t="s">
        <v>646</v>
      </c>
      <c r="H163">
        <v>9</v>
      </c>
      <c r="I163">
        <v>11361.06</v>
      </c>
      <c r="J163">
        <v>2109.5100000000002</v>
      </c>
      <c r="K163" t="str">
        <f>Table1[[#This Row],[Day]]&amp;"/"&amp;Table1[[#This Row],[Month]]&amp;"/"&amp;Table1[[#This Row],[Year]]</f>
        <v>18/11/2023</v>
      </c>
      <c r="L163" t="str">
        <f>TEXT(Table1[[#This Row],[Order Date]],"MMM")</f>
        <v>Nov</v>
      </c>
      <c r="M163">
        <f>YEAR(Table1[[#This Row],[Year]])</f>
        <v>1905</v>
      </c>
    </row>
    <row r="164" spans="1:13" x14ac:dyDescent="0.25">
      <c r="A164" t="s">
        <v>170</v>
      </c>
      <c r="B164">
        <v>12</v>
      </c>
      <c r="C164">
        <v>8</v>
      </c>
      <c r="D164">
        <v>2022</v>
      </c>
      <c r="E164" t="s">
        <v>633</v>
      </c>
      <c r="F164" t="s">
        <v>638</v>
      </c>
      <c r="G164" t="s">
        <v>646</v>
      </c>
      <c r="H164">
        <v>8</v>
      </c>
      <c r="I164">
        <v>1459.04</v>
      </c>
      <c r="J164">
        <v>204.91</v>
      </c>
      <c r="K164" t="str">
        <f>Table1[[#This Row],[Day]]&amp;"/"&amp;Table1[[#This Row],[Month]]&amp;"/"&amp;Table1[[#This Row],[Year]]</f>
        <v>8/12/2022</v>
      </c>
      <c r="L164" t="str">
        <f>TEXT(Table1[[#This Row],[Order Date]],"MMM")</f>
        <v>Dec</v>
      </c>
      <c r="M164">
        <f>YEAR(Table1[[#This Row],[Year]])</f>
        <v>1905</v>
      </c>
    </row>
    <row r="165" spans="1:13" x14ac:dyDescent="0.25">
      <c r="A165" t="s">
        <v>171</v>
      </c>
      <c r="B165">
        <v>5</v>
      </c>
      <c r="C165">
        <v>18</v>
      </c>
      <c r="D165">
        <v>2022</v>
      </c>
      <c r="E165" t="s">
        <v>632</v>
      </c>
      <c r="F165" t="s">
        <v>638</v>
      </c>
      <c r="G165" t="s">
        <v>644</v>
      </c>
      <c r="H165">
        <v>3</v>
      </c>
      <c r="I165">
        <v>2987.91</v>
      </c>
      <c r="J165">
        <v>881.57</v>
      </c>
      <c r="K165" t="str">
        <f>Table1[[#This Row],[Day]]&amp;"/"&amp;Table1[[#This Row],[Month]]&amp;"/"&amp;Table1[[#This Row],[Year]]</f>
        <v>18/5/2022</v>
      </c>
      <c r="L165" t="str">
        <f>TEXT(Table1[[#This Row],[Order Date]],"MMM")</f>
        <v>May</v>
      </c>
      <c r="M165">
        <f>YEAR(Table1[[#This Row],[Year]])</f>
        <v>1905</v>
      </c>
    </row>
    <row r="166" spans="1:13" x14ac:dyDescent="0.25">
      <c r="A166" t="s">
        <v>172</v>
      </c>
      <c r="B166">
        <v>12</v>
      </c>
      <c r="C166">
        <v>26</v>
      </c>
      <c r="D166">
        <v>2022</v>
      </c>
      <c r="E166" t="s">
        <v>632</v>
      </c>
      <c r="F166" t="s">
        <v>637</v>
      </c>
      <c r="G166" t="s">
        <v>649</v>
      </c>
      <c r="H166">
        <v>4</v>
      </c>
      <c r="I166">
        <v>1677.4</v>
      </c>
      <c r="J166">
        <v>483.57</v>
      </c>
      <c r="K166" t="str">
        <f>Table1[[#This Row],[Day]]&amp;"/"&amp;Table1[[#This Row],[Month]]&amp;"/"&amp;Table1[[#This Row],[Year]]</f>
        <v>26/12/2022</v>
      </c>
      <c r="L166" t="str">
        <f>TEXT(Table1[[#This Row],[Order Date]],"MMM")</f>
        <v>Dec</v>
      </c>
      <c r="M166">
        <f>YEAR(Table1[[#This Row],[Year]])</f>
        <v>1905</v>
      </c>
    </row>
    <row r="167" spans="1:13" x14ac:dyDescent="0.25">
      <c r="A167" t="s">
        <v>173</v>
      </c>
      <c r="B167">
        <v>2</v>
      </c>
      <c r="C167">
        <v>17</v>
      </c>
      <c r="D167">
        <v>2023</v>
      </c>
      <c r="E167" t="s">
        <v>634</v>
      </c>
      <c r="F167" t="s">
        <v>636</v>
      </c>
      <c r="G167" t="s">
        <v>647</v>
      </c>
      <c r="H167">
        <v>9</v>
      </c>
      <c r="I167">
        <v>1354.05</v>
      </c>
      <c r="J167">
        <v>289.97000000000003</v>
      </c>
      <c r="K167" t="str">
        <f>Table1[[#This Row],[Day]]&amp;"/"&amp;Table1[[#This Row],[Month]]&amp;"/"&amp;Table1[[#This Row],[Year]]</f>
        <v>17/2/2023</v>
      </c>
      <c r="L167" t="str">
        <f>TEXT(Table1[[#This Row],[Order Date]],"MMM")</f>
        <v>Feb</v>
      </c>
      <c r="M167">
        <f>YEAR(Table1[[#This Row],[Year]])</f>
        <v>1905</v>
      </c>
    </row>
    <row r="168" spans="1:13" x14ac:dyDescent="0.25">
      <c r="A168" t="s">
        <v>174</v>
      </c>
      <c r="B168">
        <v>9</v>
      </c>
      <c r="C168">
        <v>29</v>
      </c>
      <c r="D168">
        <v>2023</v>
      </c>
      <c r="E168" t="s">
        <v>635</v>
      </c>
      <c r="F168" t="s">
        <v>636</v>
      </c>
      <c r="G168" t="s">
        <v>641</v>
      </c>
      <c r="H168">
        <v>7</v>
      </c>
      <c r="I168">
        <v>6969.13</v>
      </c>
      <c r="J168">
        <v>1078.96</v>
      </c>
      <c r="K168" t="str">
        <f>Table1[[#This Row],[Day]]&amp;"/"&amp;Table1[[#This Row],[Month]]&amp;"/"&amp;Table1[[#This Row],[Year]]</f>
        <v>29/9/2023</v>
      </c>
      <c r="L168" t="str">
        <f>TEXT(Table1[[#This Row],[Order Date]],"MMM")</f>
        <v>Sep</v>
      </c>
      <c r="M168">
        <f>YEAR(Table1[[#This Row],[Year]])</f>
        <v>1905</v>
      </c>
    </row>
    <row r="169" spans="1:13" x14ac:dyDescent="0.25">
      <c r="A169" t="s">
        <v>175</v>
      </c>
      <c r="B169">
        <v>1</v>
      </c>
      <c r="C169">
        <v>27</v>
      </c>
      <c r="D169">
        <v>2023</v>
      </c>
      <c r="E169" t="s">
        <v>634</v>
      </c>
      <c r="F169" t="s">
        <v>638</v>
      </c>
      <c r="G169" t="s">
        <v>646</v>
      </c>
      <c r="H169">
        <v>1</v>
      </c>
      <c r="I169">
        <v>1219.24</v>
      </c>
      <c r="J169">
        <v>199.73</v>
      </c>
      <c r="K169" t="str">
        <f>Table1[[#This Row],[Day]]&amp;"/"&amp;Table1[[#This Row],[Month]]&amp;"/"&amp;Table1[[#This Row],[Year]]</f>
        <v>27/1/2023</v>
      </c>
      <c r="L169" t="str">
        <f>TEXT(Table1[[#This Row],[Order Date]],"MMM")</f>
        <v>Jan</v>
      </c>
      <c r="M169">
        <f>YEAR(Table1[[#This Row],[Year]])</f>
        <v>1905</v>
      </c>
    </row>
    <row r="170" spans="1:13" x14ac:dyDescent="0.25">
      <c r="A170" t="s">
        <v>176</v>
      </c>
      <c r="B170">
        <v>2</v>
      </c>
      <c r="C170">
        <v>20</v>
      </c>
      <c r="D170">
        <v>2023</v>
      </c>
      <c r="E170" t="s">
        <v>634</v>
      </c>
      <c r="F170" t="s">
        <v>636</v>
      </c>
      <c r="G170" t="s">
        <v>639</v>
      </c>
      <c r="H170">
        <v>2</v>
      </c>
      <c r="I170">
        <v>1511.08</v>
      </c>
      <c r="J170">
        <v>353.36</v>
      </c>
      <c r="K170" t="str">
        <f>Table1[[#This Row],[Day]]&amp;"/"&amp;Table1[[#This Row],[Month]]&amp;"/"&amp;Table1[[#This Row],[Year]]</f>
        <v>20/2/2023</v>
      </c>
      <c r="L170" t="str">
        <f>TEXT(Table1[[#This Row],[Order Date]],"MMM")</f>
        <v>Feb</v>
      </c>
      <c r="M170">
        <f>YEAR(Table1[[#This Row],[Year]])</f>
        <v>1905</v>
      </c>
    </row>
    <row r="171" spans="1:13" x14ac:dyDescent="0.25">
      <c r="A171" t="s">
        <v>177</v>
      </c>
      <c r="B171">
        <v>12</v>
      </c>
      <c r="C171">
        <v>18</v>
      </c>
      <c r="D171">
        <v>2022</v>
      </c>
      <c r="E171" t="s">
        <v>634</v>
      </c>
      <c r="F171" t="s">
        <v>636</v>
      </c>
      <c r="G171" t="s">
        <v>639</v>
      </c>
      <c r="H171">
        <v>8</v>
      </c>
      <c r="I171">
        <v>6807.68</v>
      </c>
      <c r="J171">
        <v>1489.58</v>
      </c>
      <c r="K171" t="str">
        <f>Table1[[#This Row],[Day]]&amp;"/"&amp;Table1[[#This Row],[Month]]&amp;"/"&amp;Table1[[#This Row],[Year]]</f>
        <v>18/12/2022</v>
      </c>
      <c r="L171" t="str">
        <f>TEXT(Table1[[#This Row],[Order Date]],"MMM")</f>
        <v>Dec</v>
      </c>
      <c r="M171">
        <f>YEAR(Table1[[#This Row],[Year]])</f>
        <v>1905</v>
      </c>
    </row>
    <row r="172" spans="1:13" x14ac:dyDescent="0.25">
      <c r="A172" t="s">
        <v>178</v>
      </c>
      <c r="B172">
        <v>5</v>
      </c>
      <c r="C172">
        <v>8</v>
      </c>
      <c r="D172">
        <v>2023</v>
      </c>
      <c r="E172" t="s">
        <v>634</v>
      </c>
      <c r="F172" t="s">
        <v>638</v>
      </c>
      <c r="G172" t="s">
        <v>642</v>
      </c>
      <c r="H172">
        <v>2</v>
      </c>
      <c r="I172">
        <v>687.38</v>
      </c>
      <c r="J172">
        <v>188.71</v>
      </c>
      <c r="K172" t="str">
        <f>Table1[[#This Row],[Day]]&amp;"/"&amp;Table1[[#This Row],[Month]]&amp;"/"&amp;Table1[[#This Row],[Year]]</f>
        <v>8/5/2023</v>
      </c>
      <c r="L172" t="str">
        <f>TEXT(Table1[[#This Row],[Order Date]],"MMM")</f>
        <v>May</v>
      </c>
      <c r="M172">
        <f>YEAR(Table1[[#This Row],[Year]])</f>
        <v>1905</v>
      </c>
    </row>
    <row r="173" spans="1:13" x14ac:dyDescent="0.25">
      <c r="A173" t="s">
        <v>179</v>
      </c>
      <c r="B173">
        <v>3</v>
      </c>
      <c r="C173">
        <v>14</v>
      </c>
      <c r="D173">
        <v>2023</v>
      </c>
      <c r="E173" t="s">
        <v>633</v>
      </c>
      <c r="F173" t="s">
        <v>637</v>
      </c>
      <c r="G173" t="s">
        <v>650</v>
      </c>
      <c r="H173">
        <v>7</v>
      </c>
      <c r="I173">
        <v>4776.59</v>
      </c>
      <c r="J173">
        <v>697.42</v>
      </c>
      <c r="K173" t="str">
        <f>Table1[[#This Row],[Day]]&amp;"/"&amp;Table1[[#This Row],[Month]]&amp;"/"&amp;Table1[[#This Row],[Year]]</f>
        <v>14/3/2023</v>
      </c>
      <c r="L173" t="str">
        <f>TEXT(Table1[[#This Row],[Order Date]],"MMM")</f>
        <v>Mar</v>
      </c>
      <c r="M173">
        <f>YEAR(Table1[[#This Row],[Year]])</f>
        <v>1905</v>
      </c>
    </row>
    <row r="174" spans="1:13" x14ac:dyDescent="0.25">
      <c r="A174" t="s">
        <v>180</v>
      </c>
      <c r="B174">
        <v>7</v>
      </c>
      <c r="C174">
        <v>17</v>
      </c>
      <c r="D174">
        <v>2022</v>
      </c>
      <c r="E174" t="s">
        <v>634</v>
      </c>
      <c r="F174" t="s">
        <v>638</v>
      </c>
      <c r="G174" t="s">
        <v>643</v>
      </c>
      <c r="H174">
        <v>5</v>
      </c>
      <c r="I174">
        <v>6380.15</v>
      </c>
      <c r="J174">
        <v>1701.33</v>
      </c>
      <c r="K174" t="str">
        <f>Table1[[#This Row],[Day]]&amp;"/"&amp;Table1[[#This Row],[Month]]&amp;"/"&amp;Table1[[#This Row],[Year]]</f>
        <v>17/7/2022</v>
      </c>
      <c r="L174" t="str">
        <f>TEXT(Table1[[#This Row],[Order Date]],"MMM")</f>
        <v>Jul</v>
      </c>
      <c r="M174">
        <f>YEAR(Table1[[#This Row],[Year]])</f>
        <v>1905</v>
      </c>
    </row>
    <row r="175" spans="1:13" x14ac:dyDescent="0.25">
      <c r="A175" t="s">
        <v>181</v>
      </c>
      <c r="B175">
        <v>3</v>
      </c>
      <c r="C175">
        <v>3</v>
      </c>
      <c r="D175">
        <v>2023</v>
      </c>
      <c r="E175" t="s">
        <v>635</v>
      </c>
      <c r="F175" t="s">
        <v>637</v>
      </c>
      <c r="G175" t="s">
        <v>640</v>
      </c>
      <c r="H175">
        <v>1</v>
      </c>
      <c r="I175">
        <v>932.23</v>
      </c>
      <c r="J175">
        <v>148.68</v>
      </c>
      <c r="K175" t="str">
        <f>Table1[[#This Row],[Day]]&amp;"/"&amp;Table1[[#This Row],[Month]]&amp;"/"&amp;Table1[[#This Row],[Year]]</f>
        <v>3/3/2023</v>
      </c>
      <c r="L175" t="str">
        <f>TEXT(Table1[[#This Row],[Order Date]],"MMM")</f>
        <v>Mar</v>
      </c>
      <c r="M175">
        <f>YEAR(Table1[[#This Row],[Year]])</f>
        <v>1905</v>
      </c>
    </row>
    <row r="176" spans="1:13" x14ac:dyDescent="0.25">
      <c r="A176" t="s">
        <v>182</v>
      </c>
      <c r="B176">
        <v>10</v>
      </c>
      <c r="C176">
        <v>15</v>
      </c>
      <c r="D176">
        <v>2022</v>
      </c>
      <c r="E176" t="s">
        <v>634</v>
      </c>
      <c r="F176" t="s">
        <v>636</v>
      </c>
      <c r="G176" t="s">
        <v>648</v>
      </c>
      <c r="H176">
        <v>3</v>
      </c>
      <c r="I176">
        <v>2508.66</v>
      </c>
      <c r="J176">
        <v>477.59</v>
      </c>
      <c r="K176" t="str">
        <f>Table1[[#This Row],[Day]]&amp;"/"&amp;Table1[[#This Row],[Month]]&amp;"/"&amp;Table1[[#This Row],[Year]]</f>
        <v>15/10/2022</v>
      </c>
      <c r="L176" t="str">
        <f>TEXT(Table1[[#This Row],[Order Date]],"MMM")</f>
        <v>Oct</v>
      </c>
      <c r="M176">
        <f>YEAR(Table1[[#This Row],[Year]])</f>
        <v>1905</v>
      </c>
    </row>
    <row r="177" spans="1:13" x14ac:dyDescent="0.25">
      <c r="A177" t="s">
        <v>183</v>
      </c>
      <c r="B177">
        <v>5</v>
      </c>
      <c r="C177">
        <v>26</v>
      </c>
      <c r="D177">
        <v>2022</v>
      </c>
      <c r="E177" t="s">
        <v>633</v>
      </c>
      <c r="F177" t="s">
        <v>637</v>
      </c>
      <c r="G177" t="s">
        <v>640</v>
      </c>
      <c r="H177">
        <v>5</v>
      </c>
      <c r="I177">
        <v>2000.55</v>
      </c>
      <c r="J177">
        <v>591.6</v>
      </c>
      <c r="K177" t="str">
        <f>Table1[[#This Row],[Day]]&amp;"/"&amp;Table1[[#This Row],[Month]]&amp;"/"&amp;Table1[[#This Row],[Year]]</f>
        <v>26/5/2022</v>
      </c>
      <c r="L177" t="str">
        <f>TEXT(Table1[[#This Row],[Order Date]],"MMM")</f>
        <v>May</v>
      </c>
      <c r="M177">
        <f>YEAR(Table1[[#This Row],[Year]])</f>
        <v>1905</v>
      </c>
    </row>
    <row r="178" spans="1:13" x14ac:dyDescent="0.25">
      <c r="A178" t="s">
        <v>184</v>
      </c>
      <c r="B178">
        <v>6</v>
      </c>
      <c r="C178">
        <v>7</v>
      </c>
      <c r="D178">
        <v>2023</v>
      </c>
      <c r="E178" t="s">
        <v>632</v>
      </c>
      <c r="F178" t="s">
        <v>638</v>
      </c>
      <c r="G178" t="s">
        <v>642</v>
      </c>
      <c r="H178">
        <v>8</v>
      </c>
      <c r="I178">
        <v>2036.56</v>
      </c>
      <c r="J178">
        <v>607.17999999999995</v>
      </c>
      <c r="K178" t="str">
        <f>Table1[[#This Row],[Day]]&amp;"/"&amp;Table1[[#This Row],[Month]]&amp;"/"&amp;Table1[[#This Row],[Year]]</f>
        <v>7/6/2023</v>
      </c>
      <c r="L178" t="str">
        <f>TEXT(Table1[[#This Row],[Order Date]],"MMM")</f>
        <v>Jun</v>
      </c>
      <c r="M178">
        <f>YEAR(Table1[[#This Row],[Year]])</f>
        <v>1905</v>
      </c>
    </row>
    <row r="179" spans="1:13" x14ac:dyDescent="0.25">
      <c r="A179" t="s">
        <v>185</v>
      </c>
      <c r="B179">
        <v>7</v>
      </c>
      <c r="C179">
        <v>3</v>
      </c>
      <c r="D179">
        <v>2023</v>
      </c>
      <c r="E179" t="s">
        <v>633</v>
      </c>
      <c r="F179" t="s">
        <v>638</v>
      </c>
      <c r="G179" t="s">
        <v>642</v>
      </c>
      <c r="H179">
        <v>8</v>
      </c>
      <c r="I179">
        <v>5073.04</v>
      </c>
      <c r="J179">
        <v>753.28</v>
      </c>
      <c r="K179" t="str">
        <f>Table1[[#This Row],[Day]]&amp;"/"&amp;Table1[[#This Row],[Month]]&amp;"/"&amp;Table1[[#This Row],[Year]]</f>
        <v>3/7/2023</v>
      </c>
      <c r="L179" t="str">
        <f>TEXT(Table1[[#This Row],[Order Date]],"MMM")</f>
        <v>Jul</v>
      </c>
      <c r="M179">
        <f>YEAR(Table1[[#This Row],[Year]])</f>
        <v>1905</v>
      </c>
    </row>
    <row r="180" spans="1:13" x14ac:dyDescent="0.25">
      <c r="A180" t="s">
        <v>186</v>
      </c>
      <c r="B180">
        <v>11</v>
      </c>
      <c r="C180">
        <v>2</v>
      </c>
      <c r="D180">
        <v>2022</v>
      </c>
      <c r="E180" t="s">
        <v>632</v>
      </c>
      <c r="F180" t="s">
        <v>638</v>
      </c>
      <c r="G180" t="s">
        <v>644</v>
      </c>
      <c r="H180">
        <v>8</v>
      </c>
      <c r="I180">
        <v>11181.36</v>
      </c>
      <c r="J180">
        <v>1084.51</v>
      </c>
      <c r="K180" t="str">
        <f>Table1[[#This Row],[Day]]&amp;"/"&amp;Table1[[#This Row],[Month]]&amp;"/"&amp;Table1[[#This Row],[Year]]</f>
        <v>2/11/2022</v>
      </c>
      <c r="L180" t="str">
        <f>TEXT(Table1[[#This Row],[Order Date]],"MMM")</f>
        <v>Nov</v>
      </c>
      <c r="M180">
        <f>YEAR(Table1[[#This Row],[Year]])</f>
        <v>1905</v>
      </c>
    </row>
    <row r="181" spans="1:13" x14ac:dyDescent="0.25">
      <c r="A181" t="s">
        <v>187</v>
      </c>
      <c r="B181">
        <v>10</v>
      </c>
      <c r="C181">
        <v>11</v>
      </c>
      <c r="D181">
        <v>2023</v>
      </c>
      <c r="E181" t="s">
        <v>632</v>
      </c>
      <c r="F181" t="s">
        <v>637</v>
      </c>
      <c r="G181" t="s">
        <v>640</v>
      </c>
      <c r="H181">
        <v>8</v>
      </c>
      <c r="I181">
        <v>8758.56</v>
      </c>
      <c r="J181">
        <v>2477.8000000000002</v>
      </c>
      <c r="K181" t="str">
        <f>Table1[[#This Row],[Day]]&amp;"/"&amp;Table1[[#This Row],[Month]]&amp;"/"&amp;Table1[[#This Row],[Year]]</f>
        <v>11/10/2023</v>
      </c>
      <c r="L181" t="str">
        <f>TEXT(Table1[[#This Row],[Order Date]],"MMM")</f>
        <v>Oct</v>
      </c>
      <c r="M181">
        <f>YEAR(Table1[[#This Row],[Year]])</f>
        <v>1905</v>
      </c>
    </row>
    <row r="182" spans="1:13" x14ac:dyDescent="0.25">
      <c r="A182" t="s">
        <v>188</v>
      </c>
      <c r="B182">
        <v>12</v>
      </c>
      <c r="C182">
        <v>29</v>
      </c>
      <c r="D182">
        <v>2023</v>
      </c>
      <c r="E182" t="s">
        <v>633</v>
      </c>
      <c r="F182" t="s">
        <v>636</v>
      </c>
      <c r="G182" t="s">
        <v>641</v>
      </c>
      <c r="H182">
        <v>4</v>
      </c>
      <c r="I182">
        <v>3252.44</v>
      </c>
      <c r="J182">
        <v>467.43</v>
      </c>
      <c r="K182" t="str">
        <f>Table1[[#This Row],[Day]]&amp;"/"&amp;Table1[[#This Row],[Month]]&amp;"/"&amp;Table1[[#This Row],[Year]]</f>
        <v>29/12/2023</v>
      </c>
      <c r="L182" t="str">
        <f>TEXT(Table1[[#This Row],[Order Date]],"MMM")</f>
        <v>Dec</v>
      </c>
      <c r="M182">
        <f>YEAR(Table1[[#This Row],[Year]])</f>
        <v>1905</v>
      </c>
    </row>
    <row r="183" spans="1:13" x14ac:dyDescent="0.25">
      <c r="A183" t="s">
        <v>189</v>
      </c>
      <c r="B183">
        <v>8</v>
      </c>
      <c r="C183">
        <v>4</v>
      </c>
      <c r="D183">
        <v>2023</v>
      </c>
      <c r="E183" t="s">
        <v>633</v>
      </c>
      <c r="F183" t="s">
        <v>637</v>
      </c>
      <c r="G183" t="s">
        <v>645</v>
      </c>
      <c r="H183">
        <v>5</v>
      </c>
      <c r="I183">
        <v>6251.65</v>
      </c>
      <c r="J183">
        <v>1416.13</v>
      </c>
      <c r="K183" t="str">
        <f>Table1[[#This Row],[Day]]&amp;"/"&amp;Table1[[#This Row],[Month]]&amp;"/"&amp;Table1[[#This Row],[Year]]</f>
        <v>4/8/2023</v>
      </c>
      <c r="L183" t="str">
        <f>TEXT(Table1[[#This Row],[Order Date]],"MMM")</f>
        <v>Aug</v>
      </c>
      <c r="M183">
        <f>YEAR(Table1[[#This Row],[Year]])</f>
        <v>1905</v>
      </c>
    </row>
    <row r="184" spans="1:13" x14ac:dyDescent="0.25">
      <c r="A184" t="s">
        <v>190</v>
      </c>
      <c r="B184">
        <v>3</v>
      </c>
      <c r="C184">
        <v>14</v>
      </c>
      <c r="D184">
        <v>2022</v>
      </c>
      <c r="E184" t="s">
        <v>633</v>
      </c>
      <c r="F184" t="s">
        <v>637</v>
      </c>
      <c r="G184" t="s">
        <v>650</v>
      </c>
      <c r="H184">
        <v>4</v>
      </c>
      <c r="I184">
        <v>2167.8000000000002</v>
      </c>
      <c r="J184">
        <v>226.82</v>
      </c>
      <c r="K184" t="str">
        <f>Table1[[#This Row],[Day]]&amp;"/"&amp;Table1[[#This Row],[Month]]&amp;"/"&amp;Table1[[#This Row],[Year]]</f>
        <v>14/3/2022</v>
      </c>
      <c r="L184" t="str">
        <f>TEXT(Table1[[#This Row],[Order Date]],"MMM")</f>
        <v>Mar</v>
      </c>
      <c r="M184">
        <f>YEAR(Table1[[#This Row],[Year]])</f>
        <v>1905</v>
      </c>
    </row>
    <row r="185" spans="1:13" x14ac:dyDescent="0.25">
      <c r="A185" t="s">
        <v>191</v>
      </c>
      <c r="B185">
        <v>4</v>
      </c>
      <c r="C185">
        <v>13</v>
      </c>
      <c r="D185">
        <v>2022</v>
      </c>
      <c r="E185" t="s">
        <v>634</v>
      </c>
      <c r="F185" t="s">
        <v>638</v>
      </c>
      <c r="G185" t="s">
        <v>643</v>
      </c>
      <c r="H185">
        <v>8</v>
      </c>
      <c r="I185">
        <v>8138.32</v>
      </c>
      <c r="J185">
        <v>742.36</v>
      </c>
      <c r="K185" t="str">
        <f>Table1[[#This Row],[Day]]&amp;"/"&amp;Table1[[#This Row],[Month]]&amp;"/"&amp;Table1[[#This Row],[Year]]</f>
        <v>13/4/2022</v>
      </c>
      <c r="L185" t="str">
        <f>TEXT(Table1[[#This Row],[Order Date]],"MMM")</f>
        <v>Apr</v>
      </c>
      <c r="M185">
        <f>YEAR(Table1[[#This Row],[Year]])</f>
        <v>1905</v>
      </c>
    </row>
    <row r="186" spans="1:13" x14ac:dyDescent="0.25">
      <c r="A186" t="s">
        <v>192</v>
      </c>
      <c r="B186">
        <v>3</v>
      </c>
      <c r="C186">
        <v>30</v>
      </c>
      <c r="D186">
        <v>2023</v>
      </c>
      <c r="E186" t="s">
        <v>634</v>
      </c>
      <c r="F186" t="s">
        <v>636</v>
      </c>
      <c r="G186" t="s">
        <v>647</v>
      </c>
      <c r="H186">
        <v>2</v>
      </c>
      <c r="I186">
        <v>2768.48</v>
      </c>
      <c r="J186">
        <v>711.47</v>
      </c>
      <c r="K186" t="str">
        <f>Table1[[#This Row],[Day]]&amp;"/"&amp;Table1[[#This Row],[Month]]&amp;"/"&amp;Table1[[#This Row],[Year]]</f>
        <v>30/3/2023</v>
      </c>
      <c r="L186" t="str">
        <f>TEXT(Table1[[#This Row],[Order Date]],"MMM")</f>
        <v>Mar</v>
      </c>
      <c r="M186">
        <f>YEAR(Table1[[#This Row],[Year]])</f>
        <v>1905</v>
      </c>
    </row>
    <row r="187" spans="1:13" x14ac:dyDescent="0.25">
      <c r="A187" t="s">
        <v>193</v>
      </c>
      <c r="B187">
        <v>12</v>
      </c>
      <c r="C187">
        <v>6</v>
      </c>
      <c r="D187">
        <v>2023</v>
      </c>
      <c r="E187" t="s">
        <v>633</v>
      </c>
      <c r="F187" t="s">
        <v>636</v>
      </c>
      <c r="G187" t="s">
        <v>639</v>
      </c>
      <c r="H187">
        <v>1</v>
      </c>
      <c r="I187">
        <v>367.52</v>
      </c>
      <c r="J187">
        <v>94.17</v>
      </c>
      <c r="K187" t="str">
        <f>Table1[[#This Row],[Day]]&amp;"/"&amp;Table1[[#This Row],[Month]]&amp;"/"&amp;Table1[[#This Row],[Year]]</f>
        <v>6/12/2023</v>
      </c>
      <c r="L187" t="str">
        <f>TEXT(Table1[[#This Row],[Order Date]],"MMM")</f>
        <v>Dec</v>
      </c>
      <c r="M187">
        <f>YEAR(Table1[[#This Row],[Year]])</f>
        <v>1905</v>
      </c>
    </row>
    <row r="188" spans="1:13" x14ac:dyDescent="0.25">
      <c r="A188" t="s">
        <v>194</v>
      </c>
      <c r="B188">
        <v>5</v>
      </c>
      <c r="C188">
        <v>29</v>
      </c>
      <c r="D188">
        <v>2022</v>
      </c>
      <c r="E188" t="s">
        <v>632</v>
      </c>
      <c r="F188" t="s">
        <v>637</v>
      </c>
      <c r="G188" t="s">
        <v>650</v>
      </c>
      <c r="H188">
        <v>8</v>
      </c>
      <c r="I188">
        <v>9436.08</v>
      </c>
      <c r="J188">
        <v>810.69</v>
      </c>
      <c r="K188" t="str">
        <f>Table1[[#This Row],[Day]]&amp;"/"&amp;Table1[[#This Row],[Month]]&amp;"/"&amp;Table1[[#This Row],[Year]]</f>
        <v>29/5/2022</v>
      </c>
      <c r="L188" t="str">
        <f>TEXT(Table1[[#This Row],[Order Date]],"MMM")</f>
        <v>May</v>
      </c>
      <c r="M188">
        <f>YEAR(Table1[[#This Row],[Year]])</f>
        <v>1905</v>
      </c>
    </row>
    <row r="189" spans="1:13" x14ac:dyDescent="0.25">
      <c r="A189" t="s">
        <v>195</v>
      </c>
      <c r="B189">
        <v>2</v>
      </c>
      <c r="C189">
        <v>14</v>
      </c>
      <c r="D189">
        <v>2022</v>
      </c>
      <c r="E189" t="s">
        <v>633</v>
      </c>
      <c r="F189" t="s">
        <v>637</v>
      </c>
      <c r="G189" t="s">
        <v>640</v>
      </c>
      <c r="H189">
        <v>7</v>
      </c>
      <c r="I189">
        <v>6193.39</v>
      </c>
      <c r="J189">
        <v>487.86</v>
      </c>
      <c r="K189" t="str">
        <f>Table1[[#This Row],[Day]]&amp;"/"&amp;Table1[[#This Row],[Month]]&amp;"/"&amp;Table1[[#This Row],[Year]]</f>
        <v>14/2/2022</v>
      </c>
      <c r="L189" t="str">
        <f>TEXT(Table1[[#This Row],[Order Date]],"MMM")</f>
        <v>Feb</v>
      </c>
      <c r="M189">
        <f>YEAR(Table1[[#This Row],[Year]])</f>
        <v>1905</v>
      </c>
    </row>
    <row r="190" spans="1:13" x14ac:dyDescent="0.25">
      <c r="A190" t="s">
        <v>196</v>
      </c>
      <c r="B190">
        <v>6</v>
      </c>
      <c r="C190">
        <v>24</v>
      </c>
      <c r="D190">
        <v>2023</v>
      </c>
      <c r="E190" t="s">
        <v>635</v>
      </c>
      <c r="F190" t="s">
        <v>637</v>
      </c>
      <c r="G190" t="s">
        <v>650</v>
      </c>
      <c r="H190">
        <v>1</v>
      </c>
      <c r="I190">
        <v>941.31</v>
      </c>
      <c r="J190">
        <v>76.38</v>
      </c>
      <c r="K190" t="str">
        <f>Table1[[#This Row],[Day]]&amp;"/"&amp;Table1[[#This Row],[Month]]&amp;"/"&amp;Table1[[#This Row],[Year]]</f>
        <v>24/6/2023</v>
      </c>
      <c r="L190" t="str">
        <f>TEXT(Table1[[#This Row],[Order Date]],"MMM")</f>
        <v>Jun</v>
      </c>
      <c r="M190">
        <f>YEAR(Table1[[#This Row],[Year]])</f>
        <v>1905</v>
      </c>
    </row>
    <row r="191" spans="1:13" x14ac:dyDescent="0.25">
      <c r="A191" t="s">
        <v>197</v>
      </c>
      <c r="B191">
        <v>11</v>
      </c>
      <c r="C191">
        <v>18</v>
      </c>
      <c r="D191">
        <v>2023</v>
      </c>
      <c r="E191" t="s">
        <v>634</v>
      </c>
      <c r="F191" t="s">
        <v>637</v>
      </c>
      <c r="G191" t="s">
        <v>640</v>
      </c>
      <c r="H191">
        <v>7</v>
      </c>
      <c r="I191">
        <v>7239.61</v>
      </c>
      <c r="J191">
        <v>444.29</v>
      </c>
      <c r="K191" t="str">
        <f>Table1[[#This Row],[Day]]&amp;"/"&amp;Table1[[#This Row],[Month]]&amp;"/"&amp;Table1[[#This Row],[Year]]</f>
        <v>18/11/2023</v>
      </c>
      <c r="L191" t="str">
        <f>TEXT(Table1[[#This Row],[Order Date]],"MMM")</f>
        <v>Nov</v>
      </c>
      <c r="M191">
        <f>YEAR(Table1[[#This Row],[Year]])</f>
        <v>1905</v>
      </c>
    </row>
    <row r="192" spans="1:13" x14ac:dyDescent="0.25">
      <c r="A192" t="s">
        <v>198</v>
      </c>
      <c r="B192">
        <v>8</v>
      </c>
      <c r="C192">
        <v>17</v>
      </c>
      <c r="D192">
        <v>2023</v>
      </c>
      <c r="E192" t="s">
        <v>634</v>
      </c>
      <c r="F192" t="s">
        <v>636</v>
      </c>
      <c r="G192" t="s">
        <v>648</v>
      </c>
      <c r="H192">
        <v>5</v>
      </c>
      <c r="I192">
        <v>7035.45</v>
      </c>
      <c r="J192">
        <v>541.64</v>
      </c>
      <c r="K192" t="str">
        <f>Table1[[#This Row],[Day]]&amp;"/"&amp;Table1[[#This Row],[Month]]&amp;"/"&amp;Table1[[#This Row],[Year]]</f>
        <v>17/8/2023</v>
      </c>
      <c r="L192" t="str">
        <f>TEXT(Table1[[#This Row],[Order Date]],"MMM")</f>
        <v>Aug</v>
      </c>
      <c r="M192">
        <f>YEAR(Table1[[#This Row],[Year]])</f>
        <v>1905</v>
      </c>
    </row>
    <row r="193" spans="1:13" x14ac:dyDescent="0.25">
      <c r="A193" t="s">
        <v>199</v>
      </c>
      <c r="B193">
        <v>4</v>
      </c>
      <c r="C193">
        <v>8</v>
      </c>
      <c r="D193">
        <v>2023</v>
      </c>
      <c r="E193" t="s">
        <v>632</v>
      </c>
      <c r="F193" t="s">
        <v>638</v>
      </c>
      <c r="G193" t="s">
        <v>642</v>
      </c>
      <c r="H193">
        <v>1</v>
      </c>
      <c r="I193">
        <v>830.28</v>
      </c>
      <c r="J193">
        <v>85.03</v>
      </c>
      <c r="K193" t="str">
        <f>Table1[[#This Row],[Day]]&amp;"/"&amp;Table1[[#This Row],[Month]]&amp;"/"&amp;Table1[[#This Row],[Year]]</f>
        <v>8/4/2023</v>
      </c>
      <c r="L193" t="str">
        <f>TEXT(Table1[[#This Row],[Order Date]],"MMM")</f>
        <v>Apr</v>
      </c>
      <c r="M193">
        <f>YEAR(Table1[[#This Row],[Year]])</f>
        <v>1905</v>
      </c>
    </row>
    <row r="194" spans="1:13" x14ac:dyDescent="0.25">
      <c r="A194" t="s">
        <v>200</v>
      </c>
      <c r="B194">
        <v>12</v>
      </c>
      <c r="C194">
        <v>15</v>
      </c>
      <c r="D194">
        <v>2023</v>
      </c>
      <c r="E194" t="s">
        <v>632</v>
      </c>
      <c r="F194" t="s">
        <v>637</v>
      </c>
      <c r="G194" t="s">
        <v>650</v>
      </c>
      <c r="H194">
        <v>7</v>
      </c>
      <c r="I194">
        <v>6974.45</v>
      </c>
      <c r="J194">
        <v>1719.63</v>
      </c>
      <c r="K194" t="str">
        <f>Table1[[#This Row],[Day]]&amp;"/"&amp;Table1[[#This Row],[Month]]&amp;"/"&amp;Table1[[#This Row],[Year]]</f>
        <v>15/12/2023</v>
      </c>
      <c r="L194" t="str">
        <f>TEXT(Table1[[#This Row],[Order Date]],"MMM")</f>
        <v>Dec</v>
      </c>
      <c r="M194">
        <f>YEAR(Table1[[#This Row],[Year]])</f>
        <v>1905</v>
      </c>
    </row>
    <row r="195" spans="1:13" x14ac:dyDescent="0.25">
      <c r="A195" t="s">
        <v>201</v>
      </c>
      <c r="B195">
        <v>7</v>
      </c>
      <c r="C195">
        <v>14</v>
      </c>
      <c r="D195">
        <v>2022</v>
      </c>
      <c r="E195" t="s">
        <v>632</v>
      </c>
      <c r="F195" t="s">
        <v>636</v>
      </c>
      <c r="G195" t="s">
        <v>641</v>
      </c>
      <c r="H195">
        <v>5</v>
      </c>
      <c r="I195">
        <v>4000.65</v>
      </c>
      <c r="J195">
        <v>1112.42</v>
      </c>
      <c r="K195" t="str">
        <f>Table1[[#This Row],[Day]]&amp;"/"&amp;Table1[[#This Row],[Month]]&amp;"/"&amp;Table1[[#This Row],[Year]]</f>
        <v>14/7/2022</v>
      </c>
      <c r="L195" t="str">
        <f>TEXT(Table1[[#This Row],[Order Date]],"MMM")</f>
        <v>Jul</v>
      </c>
      <c r="M195">
        <f>YEAR(Table1[[#This Row],[Year]])</f>
        <v>1905</v>
      </c>
    </row>
    <row r="196" spans="1:13" x14ac:dyDescent="0.25">
      <c r="A196" t="s">
        <v>202</v>
      </c>
      <c r="B196">
        <v>5</v>
      </c>
      <c r="C196">
        <v>16</v>
      </c>
      <c r="D196">
        <v>2022</v>
      </c>
      <c r="E196" t="s">
        <v>635</v>
      </c>
      <c r="F196" t="s">
        <v>638</v>
      </c>
      <c r="G196" t="s">
        <v>646</v>
      </c>
      <c r="H196">
        <v>9</v>
      </c>
      <c r="I196">
        <v>10781.46</v>
      </c>
      <c r="J196">
        <v>2544.66</v>
      </c>
      <c r="K196" t="str">
        <f>Table1[[#This Row],[Day]]&amp;"/"&amp;Table1[[#This Row],[Month]]&amp;"/"&amp;Table1[[#This Row],[Year]]</f>
        <v>16/5/2022</v>
      </c>
      <c r="L196" t="str">
        <f>TEXT(Table1[[#This Row],[Order Date]],"MMM")</f>
        <v>May</v>
      </c>
      <c r="M196">
        <f>YEAR(Table1[[#This Row],[Year]])</f>
        <v>1905</v>
      </c>
    </row>
    <row r="197" spans="1:13" x14ac:dyDescent="0.25">
      <c r="A197" t="s">
        <v>203</v>
      </c>
      <c r="B197">
        <v>10</v>
      </c>
      <c r="C197">
        <v>21</v>
      </c>
      <c r="D197">
        <v>2022</v>
      </c>
      <c r="E197" t="s">
        <v>632</v>
      </c>
      <c r="F197" t="s">
        <v>636</v>
      </c>
      <c r="G197" t="s">
        <v>639</v>
      </c>
      <c r="H197">
        <v>2</v>
      </c>
      <c r="I197">
        <v>31.36</v>
      </c>
      <c r="J197">
        <v>8.09</v>
      </c>
      <c r="K197" t="str">
        <f>Table1[[#This Row],[Day]]&amp;"/"&amp;Table1[[#This Row],[Month]]&amp;"/"&amp;Table1[[#This Row],[Year]]</f>
        <v>21/10/2022</v>
      </c>
      <c r="L197" t="str">
        <f>TEXT(Table1[[#This Row],[Order Date]],"MMM")</f>
        <v>Oct</v>
      </c>
      <c r="M197">
        <f>YEAR(Table1[[#This Row],[Year]])</f>
        <v>1905</v>
      </c>
    </row>
    <row r="198" spans="1:13" x14ac:dyDescent="0.25">
      <c r="A198" t="s">
        <v>204</v>
      </c>
      <c r="B198">
        <v>8</v>
      </c>
      <c r="C198">
        <v>26</v>
      </c>
      <c r="D198">
        <v>2022</v>
      </c>
      <c r="E198" t="s">
        <v>632</v>
      </c>
      <c r="F198" t="s">
        <v>636</v>
      </c>
      <c r="G198" t="s">
        <v>641</v>
      </c>
      <c r="H198">
        <v>4</v>
      </c>
      <c r="I198">
        <v>1084.76</v>
      </c>
      <c r="J198">
        <v>276.97000000000003</v>
      </c>
      <c r="K198" t="str">
        <f>Table1[[#This Row],[Day]]&amp;"/"&amp;Table1[[#This Row],[Month]]&amp;"/"&amp;Table1[[#This Row],[Year]]</f>
        <v>26/8/2022</v>
      </c>
      <c r="L198" t="str">
        <f>TEXT(Table1[[#This Row],[Order Date]],"MMM")</f>
        <v>Aug</v>
      </c>
      <c r="M198">
        <f>YEAR(Table1[[#This Row],[Year]])</f>
        <v>1905</v>
      </c>
    </row>
    <row r="199" spans="1:13" x14ac:dyDescent="0.25">
      <c r="A199" t="s">
        <v>205</v>
      </c>
      <c r="B199">
        <v>5</v>
      </c>
      <c r="C199">
        <v>4</v>
      </c>
      <c r="D199">
        <v>2023</v>
      </c>
      <c r="E199" t="s">
        <v>632</v>
      </c>
      <c r="F199" t="s">
        <v>638</v>
      </c>
      <c r="G199" t="s">
        <v>646</v>
      </c>
      <c r="H199">
        <v>9</v>
      </c>
      <c r="I199">
        <v>239.4</v>
      </c>
      <c r="J199">
        <v>58.68</v>
      </c>
      <c r="K199" t="str">
        <f>Table1[[#This Row],[Day]]&amp;"/"&amp;Table1[[#This Row],[Month]]&amp;"/"&amp;Table1[[#This Row],[Year]]</f>
        <v>4/5/2023</v>
      </c>
      <c r="L199" t="str">
        <f>TEXT(Table1[[#This Row],[Order Date]],"MMM")</f>
        <v>May</v>
      </c>
      <c r="M199">
        <f>YEAR(Table1[[#This Row],[Year]])</f>
        <v>1905</v>
      </c>
    </row>
    <row r="200" spans="1:13" x14ac:dyDescent="0.25">
      <c r="A200" t="s">
        <v>206</v>
      </c>
      <c r="B200">
        <v>8</v>
      </c>
      <c r="C200">
        <v>15</v>
      </c>
      <c r="D200">
        <v>2023</v>
      </c>
      <c r="E200" t="s">
        <v>634</v>
      </c>
      <c r="F200" t="s">
        <v>637</v>
      </c>
      <c r="G200" t="s">
        <v>649</v>
      </c>
      <c r="H200">
        <v>5</v>
      </c>
      <c r="I200">
        <v>1059.5999999999999</v>
      </c>
      <c r="J200">
        <v>160.66999999999999</v>
      </c>
      <c r="K200" t="str">
        <f>Table1[[#This Row],[Day]]&amp;"/"&amp;Table1[[#This Row],[Month]]&amp;"/"&amp;Table1[[#This Row],[Year]]</f>
        <v>15/8/2023</v>
      </c>
      <c r="L200" t="str">
        <f>TEXT(Table1[[#This Row],[Order Date]],"MMM")</f>
        <v>Aug</v>
      </c>
      <c r="M200">
        <f>YEAR(Table1[[#This Row],[Year]])</f>
        <v>1905</v>
      </c>
    </row>
    <row r="201" spans="1:13" x14ac:dyDescent="0.25">
      <c r="A201" t="s">
        <v>207</v>
      </c>
      <c r="B201">
        <v>6</v>
      </c>
      <c r="C201">
        <v>27</v>
      </c>
      <c r="D201">
        <v>2022</v>
      </c>
      <c r="E201" t="s">
        <v>632</v>
      </c>
      <c r="F201" t="s">
        <v>636</v>
      </c>
      <c r="G201" t="s">
        <v>641</v>
      </c>
      <c r="H201">
        <v>7</v>
      </c>
      <c r="I201">
        <v>3272.08</v>
      </c>
      <c r="J201">
        <v>825.02</v>
      </c>
      <c r="K201" t="str">
        <f>Table1[[#This Row],[Day]]&amp;"/"&amp;Table1[[#This Row],[Month]]&amp;"/"&amp;Table1[[#This Row],[Year]]</f>
        <v>27/6/2022</v>
      </c>
      <c r="L201" t="str">
        <f>TEXT(Table1[[#This Row],[Order Date]],"MMM")</f>
        <v>Jun</v>
      </c>
      <c r="M201">
        <f>YEAR(Table1[[#This Row],[Year]])</f>
        <v>1905</v>
      </c>
    </row>
    <row r="202" spans="1:13" x14ac:dyDescent="0.25">
      <c r="A202" t="s">
        <v>208</v>
      </c>
      <c r="B202">
        <v>6</v>
      </c>
      <c r="C202">
        <v>14</v>
      </c>
      <c r="D202">
        <v>2022</v>
      </c>
      <c r="E202" t="s">
        <v>632</v>
      </c>
      <c r="F202" t="s">
        <v>638</v>
      </c>
      <c r="G202" t="s">
        <v>642</v>
      </c>
      <c r="H202">
        <v>6</v>
      </c>
      <c r="I202">
        <v>780.3</v>
      </c>
      <c r="J202">
        <v>46.61</v>
      </c>
      <c r="K202" t="str">
        <f>Table1[[#This Row],[Day]]&amp;"/"&amp;Table1[[#This Row],[Month]]&amp;"/"&amp;Table1[[#This Row],[Year]]</f>
        <v>14/6/2022</v>
      </c>
      <c r="L202" t="str">
        <f>TEXT(Table1[[#This Row],[Order Date]],"MMM")</f>
        <v>Jun</v>
      </c>
      <c r="M202">
        <f>YEAR(Table1[[#This Row],[Year]])</f>
        <v>1905</v>
      </c>
    </row>
    <row r="203" spans="1:13" x14ac:dyDescent="0.25">
      <c r="A203" t="s">
        <v>209</v>
      </c>
      <c r="B203">
        <v>5</v>
      </c>
      <c r="C203">
        <v>10</v>
      </c>
      <c r="D203">
        <v>2023</v>
      </c>
      <c r="E203" t="s">
        <v>632</v>
      </c>
      <c r="F203" t="s">
        <v>637</v>
      </c>
      <c r="G203" t="s">
        <v>645</v>
      </c>
      <c r="H203">
        <v>5</v>
      </c>
      <c r="I203">
        <v>651.95000000000005</v>
      </c>
      <c r="J203">
        <v>34.54</v>
      </c>
      <c r="K203" t="str">
        <f>Table1[[#This Row],[Day]]&amp;"/"&amp;Table1[[#This Row],[Month]]&amp;"/"&amp;Table1[[#This Row],[Year]]</f>
        <v>10/5/2023</v>
      </c>
      <c r="L203" t="str">
        <f>TEXT(Table1[[#This Row],[Order Date]],"MMM")</f>
        <v>May</v>
      </c>
      <c r="M203">
        <f>YEAR(Table1[[#This Row],[Year]])</f>
        <v>1905</v>
      </c>
    </row>
    <row r="204" spans="1:13" x14ac:dyDescent="0.25">
      <c r="A204" t="s">
        <v>210</v>
      </c>
      <c r="B204">
        <v>7</v>
      </c>
      <c r="C204">
        <v>1</v>
      </c>
      <c r="D204">
        <v>2022</v>
      </c>
      <c r="E204" t="s">
        <v>633</v>
      </c>
      <c r="F204" t="s">
        <v>636</v>
      </c>
      <c r="G204" t="s">
        <v>641</v>
      </c>
      <c r="H204">
        <v>5</v>
      </c>
      <c r="I204">
        <v>1638.6</v>
      </c>
      <c r="J204">
        <v>339.1</v>
      </c>
      <c r="K204" t="str">
        <f>Table1[[#This Row],[Day]]&amp;"/"&amp;Table1[[#This Row],[Month]]&amp;"/"&amp;Table1[[#This Row],[Year]]</f>
        <v>1/7/2022</v>
      </c>
      <c r="L204" t="str">
        <f>TEXT(Table1[[#This Row],[Order Date]],"MMM")</f>
        <v>Jul</v>
      </c>
      <c r="M204">
        <f>YEAR(Table1[[#This Row],[Year]])</f>
        <v>1905</v>
      </c>
    </row>
    <row r="205" spans="1:13" x14ac:dyDescent="0.25">
      <c r="A205" t="s">
        <v>211</v>
      </c>
      <c r="B205">
        <v>8</v>
      </c>
      <c r="C205">
        <v>2</v>
      </c>
      <c r="D205">
        <v>2022</v>
      </c>
      <c r="E205" t="s">
        <v>632</v>
      </c>
      <c r="F205" t="s">
        <v>637</v>
      </c>
      <c r="G205" t="s">
        <v>650</v>
      </c>
      <c r="H205">
        <v>9</v>
      </c>
      <c r="I205">
        <v>2058.21</v>
      </c>
      <c r="J205">
        <v>542.34</v>
      </c>
      <c r="K205" t="str">
        <f>Table1[[#This Row],[Day]]&amp;"/"&amp;Table1[[#This Row],[Month]]&amp;"/"&amp;Table1[[#This Row],[Year]]</f>
        <v>2/8/2022</v>
      </c>
      <c r="L205" t="str">
        <f>TEXT(Table1[[#This Row],[Order Date]],"MMM")</f>
        <v>Aug</v>
      </c>
      <c r="M205">
        <f>YEAR(Table1[[#This Row],[Year]])</f>
        <v>1905</v>
      </c>
    </row>
    <row r="206" spans="1:13" x14ac:dyDescent="0.25">
      <c r="A206" t="s">
        <v>212</v>
      </c>
      <c r="B206">
        <v>4</v>
      </c>
      <c r="C206">
        <v>21</v>
      </c>
      <c r="D206">
        <v>2022</v>
      </c>
      <c r="E206" t="s">
        <v>633</v>
      </c>
      <c r="F206" t="s">
        <v>638</v>
      </c>
      <c r="G206" t="s">
        <v>642</v>
      </c>
      <c r="H206">
        <v>3</v>
      </c>
      <c r="I206">
        <v>3283.68</v>
      </c>
      <c r="J206">
        <v>255.82</v>
      </c>
      <c r="K206" t="str">
        <f>Table1[[#This Row],[Day]]&amp;"/"&amp;Table1[[#This Row],[Month]]&amp;"/"&amp;Table1[[#This Row],[Year]]</f>
        <v>21/4/2022</v>
      </c>
      <c r="L206" t="str">
        <f>TEXT(Table1[[#This Row],[Order Date]],"MMM")</f>
        <v>Apr</v>
      </c>
      <c r="M206">
        <f>YEAR(Table1[[#This Row],[Year]])</f>
        <v>1905</v>
      </c>
    </row>
    <row r="207" spans="1:13" x14ac:dyDescent="0.25">
      <c r="A207" t="s">
        <v>213</v>
      </c>
      <c r="B207">
        <v>6</v>
      </c>
      <c r="C207">
        <v>4</v>
      </c>
      <c r="D207">
        <v>2022</v>
      </c>
      <c r="E207" t="s">
        <v>632</v>
      </c>
      <c r="F207" t="s">
        <v>636</v>
      </c>
      <c r="G207" t="s">
        <v>639</v>
      </c>
      <c r="H207">
        <v>2</v>
      </c>
      <c r="I207">
        <v>1373.7</v>
      </c>
      <c r="J207">
        <v>202.17</v>
      </c>
      <c r="K207" t="str">
        <f>Table1[[#This Row],[Day]]&amp;"/"&amp;Table1[[#This Row],[Month]]&amp;"/"&amp;Table1[[#This Row],[Year]]</f>
        <v>4/6/2022</v>
      </c>
      <c r="L207" t="str">
        <f>TEXT(Table1[[#This Row],[Order Date]],"MMM")</f>
        <v>Jun</v>
      </c>
      <c r="M207">
        <f>YEAR(Table1[[#This Row],[Year]])</f>
        <v>1905</v>
      </c>
    </row>
    <row r="208" spans="1:13" x14ac:dyDescent="0.25">
      <c r="A208" t="s">
        <v>214</v>
      </c>
      <c r="B208">
        <v>11</v>
      </c>
      <c r="C208">
        <v>26</v>
      </c>
      <c r="D208">
        <v>2023</v>
      </c>
      <c r="E208" t="s">
        <v>633</v>
      </c>
      <c r="F208" t="s">
        <v>636</v>
      </c>
      <c r="G208" t="s">
        <v>639</v>
      </c>
      <c r="H208">
        <v>5</v>
      </c>
      <c r="I208">
        <v>4616.1000000000004</v>
      </c>
      <c r="J208">
        <v>592.27</v>
      </c>
      <c r="K208" t="str">
        <f>Table1[[#This Row],[Day]]&amp;"/"&amp;Table1[[#This Row],[Month]]&amp;"/"&amp;Table1[[#This Row],[Year]]</f>
        <v>26/11/2023</v>
      </c>
      <c r="L208" t="str">
        <f>TEXT(Table1[[#This Row],[Order Date]],"MMM")</f>
        <v>Nov</v>
      </c>
      <c r="M208">
        <f>YEAR(Table1[[#This Row],[Year]])</f>
        <v>1905</v>
      </c>
    </row>
    <row r="209" spans="1:13" x14ac:dyDescent="0.25">
      <c r="A209" t="s">
        <v>215</v>
      </c>
      <c r="B209">
        <v>9</v>
      </c>
      <c r="C209">
        <v>13</v>
      </c>
      <c r="D209">
        <v>2023</v>
      </c>
      <c r="E209" t="s">
        <v>635</v>
      </c>
      <c r="F209" t="s">
        <v>636</v>
      </c>
      <c r="G209" t="s">
        <v>641</v>
      </c>
      <c r="H209">
        <v>6</v>
      </c>
      <c r="I209">
        <v>5523.6</v>
      </c>
      <c r="J209">
        <v>1549.39</v>
      </c>
      <c r="K209" t="str">
        <f>Table1[[#This Row],[Day]]&amp;"/"&amp;Table1[[#This Row],[Month]]&amp;"/"&amp;Table1[[#This Row],[Year]]</f>
        <v>13/9/2023</v>
      </c>
      <c r="L209" t="str">
        <f>TEXT(Table1[[#This Row],[Order Date]],"MMM")</f>
        <v>Sep</v>
      </c>
      <c r="M209">
        <f>YEAR(Table1[[#This Row],[Year]])</f>
        <v>1905</v>
      </c>
    </row>
    <row r="210" spans="1:13" x14ac:dyDescent="0.25">
      <c r="A210" t="s">
        <v>216</v>
      </c>
      <c r="B210">
        <v>3</v>
      </c>
      <c r="C210">
        <v>16</v>
      </c>
      <c r="D210">
        <v>2023</v>
      </c>
      <c r="E210" t="s">
        <v>635</v>
      </c>
      <c r="F210" t="s">
        <v>638</v>
      </c>
      <c r="G210" t="s">
        <v>644</v>
      </c>
      <c r="H210">
        <v>7</v>
      </c>
      <c r="I210">
        <v>4148.76</v>
      </c>
      <c r="J210">
        <v>220.03</v>
      </c>
      <c r="K210" t="str">
        <f>Table1[[#This Row],[Day]]&amp;"/"&amp;Table1[[#This Row],[Month]]&amp;"/"&amp;Table1[[#This Row],[Year]]</f>
        <v>16/3/2023</v>
      </c>
      <c r="L210" t="str">
        <f>TEXT(Table1[[#This Row],[Order Date]],"MMM")</f>
        <v>Mar</v>
      </c>
      <c r="M210">
        <f>YEAR(Table1[[#This Row],[Year]])</f>
        <v>1905</v>
      </c>
    </row>
    <row r="211" spans="1:13" x14ac:dyDescent="0.25">
      <c r="A211" t="s">
        <v>217</v>
      </c>
      <c r="B211">
        <v>7</v>
      </c>
      <c r="C211">
        <v>26</v>
      </c>
      <c r="D211">
        <v>2023</v>
      </c>
      <c r="E211" t="s">
        <v>632</v>
      </c>
      <c r="F211" t="s">
        <v>638</v>
      </c>
      <c r="G211" t="s">
        <v>644</v>
      </c>
      <c r="H211">
        <v>7</v>
      </c>
      <c r="I211">
        <v>3723.58</v>
      </c>
      <c r="J211">
        <v>999.59</v>
      </c>
      <c r="K211" t="str">
        <f>Table1[[#This Row],[Day]]&amp;"/"&amp;Table1[[#This Row],[Month]]&amp;"/"&amp;Table1[[#This Row],[Year]]</f>
        <v>26/7/2023</v>
      </c>
      <c r="L211" t="str">
        <f>TEXT(Table1[[#This Row],[Order Date]],"MMM")</f>
        <v>Jul</v>
      </c>
      <c r="M211">
        <f>YEAR(Table1[[#This Row],[Year]])</f>
        <v>1905</v>
      </c>
    </row>
    <row r="212" spans="1:13" x14ac:dyDescent="0.25">
      <c r="A212" t="s">
        <v>218</v>
      </c>
      <c r="B212">
        <v>7</v>
      </c>
      <c r="C212">
        <v>1</v>
      </c>
      <c r="D212">
        <v>2022</v>
      </c>
      <c r="E212" t="s">
        <v>633</v>
      </c>
      <c r="F212" t="s">
        <v>636</v>
      </c>
      <c r="G212" t="s">
        <v>641</v>
      </c>
      <c r="H212">
        <v>9</v>
      </c>
      <c r="I212">
        <v>7297.29</v>
      </c>
      <c r="J212">
        <v>2138</v>
      </c>
      <c r="K212" t="str">
        <f>Table1[[#This Row],[Day]]&amp;"/"&amp;Table1[[#This Row],[Month]]&amp;"/"&amp;Table1[[#This Row],[Year]]</f>
        <v>1/7/2022</v>
      </c>
      <c r="L212" t="str">
        <f>TEXT(Table1[[#This Row],[Order Date]],"MMM")</f>
        <v>Jul</v>
      </c>
      <c r="M212">
        <f>YEAR(Table1[[#This Row],[Year]])</f>
        <v>1905</v>
      </c>
    </row>
    <row r="213" spans="1:13" x14ac:dyDescent="0.25">
      <c r="A213" t="s">
        <v>219</v>
      </c>
      <c r="B213">
        <v>12</v>
      </c>
      <c r="C213">
        <v>3</v>
      </c>
      <c r="D213">
        <v>2022</v>
      </c>
      <c r="E213" t="s">
        <v>635</v>
      </c>
      <c r="F213" t="s">
        <v>638</v>
      </c>
      <c r="G213" t="s">
        <v>644</v>
      </c>
      <c r="H213">
        <v>9</v>
      </c>
      <c r="I213">
        <v>10086.48</v>
      </c>
      <c r="J213">
        <v>2456.9899999999998</v>
      </c>
      <c r="K213" t="str">
        <f>Table1[[#This Row],[Day]]&amp;"/"&amp;Table1[[#This Row],[Month]]&amp;"/"&amp;Table1[[#This Row],[Year]]</f>
        <v>3/12/2022</v>
      </c>
      <c r="L213" t="str">
        <f>TEXT(Table1[[#This Row],[Order Date]],"MMM")</f>
        <v>Dec</v>
      </c>
      <c r="M213">
        <f>YEAR(Table1[[#This Row],[Year]])</f>
        <v>1905</v>
      </c>
    </row>
    <row r="214" spans="1:13" x14ac:dyDescent="0.25">
      <c r="A214" t="s">
        <v>220</v>
      </c>
      <c r="B214">
        <v>8</v>
      </c>
      <c r="C214">
        <v>18</v>
      </c>
      <c r="D214">
        <v>2022</v>
      </c>
      <c r="E214" t="s">
        <v>635</v>
      </c>
      <c r="F214" t="s">
        <v>636</v>
      </c>
      <c r="G214" t="s">
        <v>647</v>
      </c>
      <c r="H214">
        <v>7</v>
      </c>
      <c r="I214">
        <v>5320.77</v>
      </c>
      <c r="J214">
        <v>741.76</v>
      </c>
      <c r="K214" t="str">
        <f>Table1[[#This Row],[Day]]&amp;"/"&amp;Table1[[#This Row],[Month]]&amp;"/"&amp;Table1[[#This Row],[Year]]</f>
        <v>18/8/2022</v>
      </c>
      <c r="L214" t="str">
        <f>TEXT(Table1[[#This Row],[Order Date]],"MMM")</f>
        <v>Aug</v>
      </c>
      <c r="M214">
        <f>YEAR(Table1[[#This Row],[Year]])</f>
        <v>1905</v>
      </c>
    </row>
    <row r="215" spans="1:13" x14ac:dyDescent="0.25">
      <c r="A215" t="s">
        <v>221</v>
      </c>
      <c r="B215">
        <v>12</v>
      </c>
      <c r="C215">
        <v>3</v>
      </c>
      <c r="D215">
        <v>2023</v>
      </c>
      <c r="E215" t="s">
        <v>633</v>
      </c>
      <c r="F215" t="s">
        <v>637</v>
      </c>
      <c r="G215" t="s">
        <v>645</v>
      </c>
      <c r="H215">
        <v>5</v>
      </c>
      <c r="I215">
        <v>6579.7</v>
      </c>
      <c r="J215">
        <v>365.61</v>
      </c>
      <c r="K215" t="str">
        <f>Table1[[#This Row],[Day]]&amp;"/"&amp;Table1[[#This Row],[Month]]&amp;"/"&amp;Table1[[#This Row],[Year]]</f>
        <v>3/12/2023</v>
      </c>
      <c r="L215" t="str">
        <f>TEXT(Table1[[#This Row],[Order Date]],"MMM")</f>
        <v>Dec</v>
      </c>
      <c r="M215">
        <f>YEAR(Table1[[#This Row],[Year]])</f>
        <v>1905</v>
      </c>
    </row>
    <row r="216" spans="1:13" x14ac:dyDescent="0.25">
      <c r="A216" t="s">
        <v>222</v>
      </c>
      <c r="B216">
        <v>9</v>
      </c>
      <c r="C216">
        <v>27</v>
      </c>
      <c r="D216">
        <v>2023</v>
      </c>
      <c r="E216" t="s">
        <v>634</v>
      </c>
      <c r="F216" t="s">
        <v>638</v>
      </c>
      <c r="G216" t="s">
        <v>642</v>
      </c>
      <c r="H216">
        <v>2</v>
      </c>
      <c r="I216">
        <v>158.58000000000001</v>
      </c>
      <c r="J216">
        <v>17.059999999999999</v>
      </c>
      <c r="K216" t="str">
        <f>Table1[[#This Row],[Day]]&amp;"/"&amp;Table1[[#This Row],[Month]]&amp;"/"&amp;Table1[[#This Row],[Year]]</f>
        <v>27/9/2023</v>
      </c>
      <c r="L216" t="str">
        <f>TEXT(Table1[[#This Row],[Order Date]],"MMM")</f>
        <v>Sep</v>
      </c>
      <c r="M216">
        <f>YEAR(Table1[[#This Row],[Year]])</f>
        <v>1905</v>
      </c>
    </row>
    <row r="217" spans="1:13" x14ac:dyDescent="0.25">
      <c r="A217" t="s">
        <v>223</v>
      </c>
      <c r="B217">
        <v>10</v>
      </c>
      <c r="C217">
        <v>18</v>
      </c>
      <c r="D217">
        <v>2022</v>
      </c>
      <c r="E217" t="s">
        <v>635</v>
      </c>
      <c r="F217" t="s">
        <v>638</v>
      </c>
      <c r="G217" t="s">
        <v>643</v>
      </c>
      <c r="H217">
        <v>4</v>
      </c>
      <c r="I217">
        <v>4582.6400000000003</v>
      </c>
      <c r="J217">
        <v>740.58</v>
      </c>
      <c r="K217" t="str">
        <f>Table1[[#This Row],[Day]]&amp;"/"&amp;Table1[[#This Row],[Month]]&amp;"/"&amp;Table1[[#This Row],[Year]]</f>
        <v>18/10/2022</v>
      </c>
      <c r="L217" t="str">
        <f>TEXT(Table1[[#This Row],[Order Date]],"MMM")</f>
        <v>Oct</v>
      </c>
      <c r="M217">
        <f>YEAR(Table1[[#This Row],[Year]])</f>
        <v>1905</v>
      </c>
    </row>
    <row r="218" spans="1:13" x14ac:dyDescent="0.25">
      <c r="A218" t="s">
        <v>224</v>
      </c>
      <c r="B218">
        <v>7</v>
      </c>
      <c r="C218">
        <v>9</v>
      </c>
      <c r="D218">
        <v>2022</v>
      </c>
      <c r="E218" t="s">
        <v>632</v>
      </c>
      <c r="F218" t="s">
        <v>638</v>
      </c>
      <c r="G218" t="s">
        <v>644</v>
      </c>
      <c r="H218">
        <v>9</v>
      </c>
      <c r="I218">
        <v>3346.65</v>
      </c>
      <c r="J218">
        <v>694.15</v>
      </c>
      <c r="K218" t="str">
        <f>Table1[[#This Row],[Day]]&amp;"/"&amp;Table1[[#This Row],[Month]]&amp;"/"&amp;Table1[[#This Row],[Year]]</f>
        <v>9/7/2022</v>
      </c>
      <c r="L218" t="str">
        <f>TEXT(Table1[[#This Row],[Order Date]],"MMM")</f>
        <v>Jul</v>
      </c>
      <c r="M218">
        <f>YEAR(Table1[[#This Row],[Year]])</f>
        <v>1905</v>
      </c>
    </row>
    <row r="219" spans="1:13" x14ac:dyDescent="0.25">
      <c r="A219" t="s">
        <v>225</v>
      </c>
      <c r="B219">
        <v>2</v>
      </c>
      <c r="C219">
        <v>27</v>
      </c>
      <c r="D219">
        <v>2023</v>
      </c>
      <c r="E219" t="s">
        <v>633</v>
      </c>
      <c r="F219" t="s">
        <v>637</v>
      </c>
      <c r="G219" t="s">
        <v>650</v>
      </c>
      <c r="H219">
        <v>4</v>
      </c>
      <c r="I219">
        <v>2387.1999999999998</v>
      </c>
      <c r="J219">
        <v>488.18</v>
      </c>
      <c r="K219" t="str">
        <f>Table1[[#This Row],[Day]]&amp;"/"&amp;Table1[[#This Row],[Month]]&amp;"/"&amp;Table1[[#This Row],[Year]]</f>
        <v>27/2/2023</v>
      </c>
      <c r="L219" t="str">
        <f>TEXT(Table1[[#This Row],[Order Date]],"MMM")</f>
        <v>Feb</v>
      </c>
      <c r="M219">
        <f>YEAR(Table1[[#This Row],[Year]])</f>
        <v>1905</v>
      </c>
    </row>
    <row r="220" spans="1:13" x14ac:dyDescent="0.25">
      <c r="A220" t="s">
        <v>226</v>
      </c>
      <c r="B220">
        <v>2</v>
      </c>
      <c r="C220">
        <v>11</v>
      </c>
      <c r="D220">
        <v>2022</v>
      </c>
      <c r="E220" t="s">
        <v>632</v>
      </c>
      <c r="F220" t="s">
        <v>636</v>
      </c>
      <c r="G220" t="s">
        <v>647</v>
      </c>
      <c r="H220">
        <v>1</v>
      </c>
      <c r="I220">
        <v>1394.93</v>
      </c>
      <c r="J220">
        <v>406.64</v>
      </c>
      <c r="K220" t="str">
        <f>Table1[[#This Row],[Day]]&amp;"/"&amp;Table1[[#This Row],[Month]]&amp;"/"&amp;Table1[[#This Row],[Year]]</f>
        <v>11/2/2022</v>
      </c>
      <c r="L220" t="str">
        <f>TEXT(Table1[[#This Row],[Order Date]],"MMM")</f>
        <v>Feb</v>
      </c>
      <c r="M220">
        <f>YEAR(Table1[[#This Row],[Year]])</f>
        <v>1905</v>
      </c>
    </row>
    <row r="221" spans="1:13" x14ac:dyDescent="0.25">
      <c r="A221" t="s">
        <v>227</v>
      </c>
      <c r="B221">
        <v>9</v>
      </c>
      <c r="C221">
        <v>5</v>
      </c>
      <c r="D221">
        <v>2023</v>
      </c>
      <c r="E221" t="s">
        <v>635</v>
      </c>
      <c r="F221" t="s">
        <v>636</v>
      </c>
      <c r="G221" t="s">
        <v>648</v>
      </c>
      <c r="H221">
        <v>6</v>
      </c>
      <c r="I221">
        <v>7284.66</v>
      </c>
      <c r="J221">
        <v>1915.99</v>
      </c>
      <c r="K221" t="str">
        <f>Table1[[#This Row],[Day]]&amp;"/"&amp;Table1[[#This Row],[Month]]&amp;"/"&amp;Table1[[#This Row],[Year]]</f>
        <v>5/9/2023</v>
      </c>
      <c r="L221" t="str">
        <f>TEXT(Table1[[#This Row],[Order Date]],"MMM")</f>
        <v>Sep</v>
      </c>
      <c r="M221">
        <f>YEAR(Table1[[#This Row],[Year]])</f>
        <v>1905</v>
      </c>
    </row>
    <row r="222" spans="1:13" x14ac:dyDescent="0.25">
      <c r="A222" t="s">
        <v>228</v>
      </c>
      <c r="B222">
        <v>8</v>
      </c>
      <c r="C222">
        <v>8</v>
      </c>
      <c r="D222">
        <v>2022</v>
      </c>
      <c r="E222" t="s">
        <v>632</v>
      </c>
      <c r="F222" t="s">
        <v>638</v>
      </c>
      <c r="G222" t="s">
        <v>644</v>
      </c>
      <c r="H222">
        <v>2</v>
      </c>
      <c r="I222">
        <v>33.200000000000003</v>
      </c>
      <c r="J222">
        <v>9.66</v>
      </c>
      <c r="K222" t="str">
        <f>Table1[[#This Row],[Day]]&amp;"/"&amp;Table1[[#This Row],[Month]]&amp;"/"&amp;Table1[[#This Row],[Year]]</f>
        <v>8/8/2022</v>
      </c>
      <c r="L222" t="str">
        <f>TEXT(Table1[[#This Row],[Order Date]],"MMM")</f>
        <v>Aug</v>
      </c>
      <c r="M222">
        <f>YEAR(Table1[[#This Row],[Year]])</f>
        <v>1905</v>
      </c>
    </row>
    <row r="223" spans="1:13" x14ac:dyDescent="0.25">
      <c r="A223" t="s">
        <v>229</v>
      </c>
      <c r="B223">
        <v>4</v>
      </c>
      <c r="C223">
        <v>17</v>
      </c>
      <c r="D223">
        <v>2022</v>
      </c>
      <c r="E223" t="s">
        <v>633</v>
      </c>
      <c r="F223" t="s">
        <v>636</v>
      </c>
      <c r="G223" t="s">
        <v>639</v>
      </c>
      <c r="H223">
        <v>5</v>
      </c>
      <c r="I223">
        <v>6982.25</v>
      </c>
      <c r="J223">
        <v>1340.84</v>
      </c>
      <c r="K223" t="str">
        <f>Table1[[#This Row],[Day]]&amp;"/"&amp;Table1[[#This Row],[Month]]&amp;"/"&amp;Table1[[#This Row],[Year]]</f>
        <v>17/4/2022</v>
      </c>
      <c r="L223" t="str">
        <f>TEXT(Table1[[#This Row],[Order Date]],"MMM")</f>
        <v>Apr</v>
      </c>
      <c r="M223">
        <f>YEAR(Table1[[#This Row],[Year]])</f>
        <v>1905</v>
      </c>
    </row>
    <row r="224" spans="1:13" x14ac:dyDescent="0.25">
      <c r="A224" t="s">
        <v>230</v>
      </c>
      <c r="B224">
        <v>8</v>
      </c>
      <c r="C224">
        <v>14</v>
      </c>
      <c r="D224">
        <v>2023</v>
      </c>
      <c r="E224" t="s">
        <v>634</v>
      </c>
      <c r="F224" t="s">
        <v>636</v>
      </c>
      <c r="G224" t="s">
        <v>641</v>
      </c>
      <c r="H224">
        <v>9</v>
      </c>
      <c r="I224">
        <v>10591.11</v>
      </c>
      <c r="J224">
        <v>548.82000000000005</v>
      </c>
      <c r="K224" t="str">
        <f>Table1[[#This Row],[Day]]&amp;"/"&amp;Table1[[#This Row],[Month]]&amp;"/"&amp;Table1[[#This Row],[Year]]</f>
        <v>14/8/2023</v>
      </c>
      <c r="L224" t="str">
        <f>TEXT(Table1[[#This Row],[Order Date]],"MMM")</f>
        <v>Aug</v>
      </c>
      <c r="M224">
        <f>YEAR(Table1[[#This Row],[Year]])</f>
        <v>1905</v>
      </c>
    </row>
    <row r="225" spans="1:13" x14ac:dyDescent="0.25">
      <c r="A225" t="s">
        <v>231</v>
      </c>
      <c r="B225">
        <v>6</v>
      </c>
      <c r="C225">
        <v>11</v>
      </c>
      <c r="D225">
        <v>2022</v>
      </c>
      <c r="E225" t="s">
        <v>632</v>
      </c>
      <c r="F225" t="s">
        <v>637</v>
      </c>
      <c r="G225" t="s">
        <v>650</v>
      </c>
      <c r="H225">
        <v>1</v>
      </c>
      <c r="I225">
        <v>122.79</v>
      </c>
      <c r="J225">
        <v>24.72</v>
      </c>
      <c r="K225" t="str">
        <f>Table1[[#This Row],[Day]]&amp;"/"&amp;Table1[[#This Row],[Month]]&amp;"/"&amp;Table1[[#This Row],[Year]]</f>
        <v>11/6/2022</v>
      </c>
      <c r="L225" t="str">
        <f>TEXT(Table1[[#This Row],[Order Date]],"MMM")</f>
        <v>Jun</v>
      </c>
      <c r="M225">
        <f>YEAR(Table1[[#This Row],[Year]])</f>
        <v>1905</v>
      </c>
    </row>
    <row r="226" spans="1:13" x14ac:dyDescent="0.25">
      <c r="A226" t="s">
        <v>232</v>
      </c>
      <c r="B226">
        <v>6</v>
      </c>
      <c r="C226">
        <v>25</v>
      </c>
      <c r="D226">
        <v>2022</v>
      </c>
      <c r="E226" t="s">
        <v>633</v>
      </c>
      <c r="F226" t="s">
        <v>636</v>
      </c>
      <c r="G226" t="s">
        <v>641</v>
      </c>
      <c r="H226">
        <v>5</v>
      </c>
      <c r="I226">
        <v>477.4</v>
      </c>
      <c r="J226">
        <v>105.59</v>
      </c>
      <c r="K226" t="str">
        <f>Table1[[#This Row],[Day]]&amp;"/"&amp;Table1[[#This Row],[Month]]&amp;"/"&amp;Table1[[#This Row],[Year]]</f>
        <v>25/6/2022</v>
      </c>
      <c r="L226" t="str">
        <f>TEXT(Table1[[#This Row],[Order Date]],"MMM")</f>
        <v>Jun</v>
      </c>
      <c r="M226">
        <f>YEAR(Table1[[#This Row],[Year]])</f>
        <v>1905</v>
      </c>
    </row>
    <row r="227" spans="1:13" x14ac:dyDescent="0.25">
      <c r="A227" t="s">
        <v>233</v>
      </c>
      <c r="B227">
        <v>2</v>
      </c>
      <c r="C227">
        <v>12</v>
      </c>
      <c r="D227">
        <v>2022</v>
      </c>
      <c r="E227" t="s">
        <v>633</v>
      </c>
      <c r="F227" t="s">
        <v>638</v>
      </c>
      <c r="G227" t="s">
        <v>646</v>
      </c>
      <c r="H227">
        <v>1</v>
      </c>
      <c r="I227">
        <v>945.32</v>
      </c>
      <c r="J227">
        <v>116.61</v>
      </c>
      <c r="K227" t="str">
        <f>Table1[[#This Row],[Day]]&amp;"/"&amp;Table1[[#This Row],[Month]]&amp;"/"&amp;Table1[[#This Row],[Year]]</f>
        <v>12/2/2022</v>
      </c>
      <c r="L227" t="str">
        <f>TEXT(Table1[[#This Row],[Order Date]],"MMM")</f>
        <v>Feb</v>
      </c>
      <c r="M227">
        <f>YEAR(Table1[[#This Row],[Year]])</f>
        <v>1905</v>
      </c>
    </row>
    <row r="228" spans="1:13" x14ac:dyDescent="0.25">
      <c r="A228" t="s">
        <v>234</v>
      </c>
      <c r="B228">
        <v>7</v>
      </c>
      <c r="C228">
        <v>14</v>
      </c>
      <c r="D228">
        <v>2023</v>
      </c>
      <c r="E228" t="s">
        <v>632</v>
      </c>
      <c r="F228" t="s">
        <v>636</v>
      </c>
      <c r="G228" t="s">
        <v>648</v>
      </c>
      <c r="H228">
        <v>5</v>
      </c>
      <c r="I228">
        <v>5342.4</v>
      </c>
      <c r="J228">
        <v>1545.33</v>
      </c>
      <c r="K228" t="str">
        <f>Table1[[#This Row],[Day]]&amp;"/"&amp;Table1[[#This Row],[Month]]&amp;"/"&amp;Table1[[#This Row],[Year]]</f>
        <v>14/7/2023</v>
      </c>
      <c r="L228" t="str">
        <f>TEXT(Table1[[#This Row],[Order Date]],"MMM")</f>
        <v>Jul</v>
      </c>
      <c r="M228">
        <f>YEAR(Table1[[#This Row],[Year]])</f>
        <v>1905</v>
      </c>
    </row>
    <row r="229" spans="1:13" x14ac:dyDescent="0.25">
      <c r="A229" t="s">
        <v>235</v>
      </c>
      <c r="B229">
        <v>9</v>
      </c>
      <c r="C229">
        <v>25</v>
      </c>
      <c r="D229">
        <v>2022</v>
      </c>
      <c r="E229" t="s">
        <v>632</v>
      </c>
      <c r="F229" t="s">
        <v>636</v>
      </c>
      <c r="G229" t="s">
        <v>648</v>
      </c>
      <c r="H229">
        <v>5</v>
      </c>
      <c r="I229">
        <v>5704.35</v>
      </c>
      <c r="J229">
        <v>1491.85</v>
      </c>
      <c r="K229" t="str">
        <f>Table1[[#This Row],[Day]]&amp;"/"&amp;Table1[[#This Row],[Month]]&amp;"/"&amp;Table1[[#This Row],[Year]]</f>
        <v>25/9/2022</v>
      </c>
      <c r="L229" t="str">
        <f>TEXT(Table1[[#This Row],[Order Date]],"MMM")</f>
        <v>Sep</v>
      </c>
      <c r="M229">
        <f>YEAR(Table1[[#This Row],[Year]])</f>
        <v>1905</v>
      </c>
    </row>
    <row r="230" spans="1:13" x14ac:dyDescent="0.25">
      <c r="A230" t="s">
        <v>236</v>
      </c>
      <c r="B230">
        <v>3</v>
      </c>
      <c r="C230">
        <v>8</v>
      </c>
      <c r="D230">
        <v>2022</v>
      </c>
      <c r="E230" t="s">
        <v>633</v>
      </c>
      <c r="F230" t="s">
        <v>636</v>
      </c>
      <c r="G230" t="s">
        <v>641</v>
      </c>
      <c r="H230">
        <v>7</v>
      </c>
      <c r="I230">
        <v>4519.62</v>
      </c>
      <c r="J230">
        <v>637.99</v>
      </c>
      <c r="K230" t="str">
        <f>Table1[[#This Row],[Day]]&amp;"/"&amp;Table1[[#This Row],[Month]]&amp;"/"&amp;Table1[[#This Row],[Year]]</f>
        <v>8/3/2022</v>
      </c>
      <c r="L230" t="str">
        <f>TEXT(Table1[[#This Row],[Order Date]],"MMM")</f>
        <v>Mar</v>
      </c>
      <c r="M230">
        <f>YEAR(Table1[[#This Row],[Year]])</f>
        <v>1905</v>
      </c>
    </row>
    <row r="231" spans="1:13" x14ac:dyDescent="0.25">
      <c r="A231" t="s">
        <v>237</v>
      </c>
      <c r="B231">
        <v>12</v>
      </c>
      <c r="C231">
        <v>2</v>
      </c>
      <c r="D231">
        <v>2022</v>
      </c>
      <c r="E231" t="s">
        <v>634</v>
      </c>
      <c r="F231" t="s">
        <v>638</v>
      </c>
      <c r="G231" t="s">
        <v>646</v>
      </c>
      <c r="H231">
        <v>6</v>
      </c>
      <c r="I231">
        <v>7736.64</v>
      </c>
      <c r="J231">
        <v>1845.08</v>
      </c>
      <c r="K231" t="str">
        <f>Table1[[#This Row],[Day]]&amp;"/"&amp;Table1[[#This Row],[Month]]&amp;"/"&amp;Table1[[#This Row],[Year]]</f>
        <v>2/12/2022</v>
      </c>
      <c r="L231" t="str">
        <f>TEXT(Table1[[#This Row],[Order Date]],"MMM")</f>
        <v>Dec</v>
      </c>
      <c r="M231">
        <f>YEAR(Table1[[#This Row],[Year]])</f>
        <v>1905</v>
      </c>
    </row>
    <row r="232" spans="1:13" x14ac:dyDescent="0.25">
      <c r="A232" t="s">
        <v>238</v>
      </c>
      <c r="B232">
        <v>9</v>
      </c>
      <c r="C232">
        <v>21</v>
      </c>
      <c r="D232">
        <v>2022</v>
      </c>
      <c r="E232" t="s">
        <v>632</v>
      </c>
      <c r="F232" t="s">
        <v>636</v>
      </c>
      <c r="G232" t="s">
        <v>648</v>
      </c>
      <c r="H232">
        <v>6</v>
      </c>
      <c r="I232">
        <v>8639.52</v>
      </c>
      <c r="J232">
        <v>1888.69</v>
      </c>
      <c r="K232" t="str">
        <f>Table1[[#This Row],[Day]]&amp;"/"&amp;Table1[[#This Row],[Month]]&amp;"/"&amp;Table1[[#This Row],[Year]]</f>
        <v>21/9/2022</v>
      </c>
      <c r="L232" t="str">
        <f>TEXT(Table1[[#This Row],[Order Date]],"MMM")</f>
        <v>Sep</v>
      </c>
      <c r="M232">
        <f>YEAR(Table1[[#This Row],[Year]])</f>
        <v>1905</v>
      </c>
    </row>
    <row r="233" spans="1:13" x14ac:dyDescent="0.25">
      <c r="A233" t="s">
        <v>239</v>
      </c>
      <c r="B233">
        <v>4</v>
      </c>
      <c r="C233">
        <v>25</v>
      </c>
      <c r="D233">
        <v>2023</v>
      </c>
      <c r="E233" t="s">
        <v>635</v>
      </c>
      <c r="F233" t="s">
        <v>638</v>
      </c>
      <c r="G233" t="s">
        <v>646</v>
      </c>
      <c r="H233">
        <v>3</v>
      </c>
      <c r="I233">
        <v>3323.07</v>
      </c>
      <c r="J233">
        <v>463.36</v>
      </c>
      <c r="K233" t="str">
        <f>Table1[[#This Row],[Day]]&amp;"/"&amp;Table1[[#This Row],[Month]]&amp;"/"&amp;Table1[[#This Row],[Year]]</f>
        <v>25/4/2023</v>
      </c>
      <c r="L233" t="str">
        <f>TEXT(Table1[[#This Row],[Order Date]],"MMM")</f>
        <v>Apr</v>
      </c>
      <c r="M233">
        <f>YEAR(Table1[[#This Row],[Year]])</f>
        <v>1905</v>
      </c>
    </row>
    <row r="234" spans="1:13" x14ac:dyDescent="0.25">
      <c r="A234" t="s">
        <v>240</v>
      </c>
      <c r="B234">
        <v>4</v>
      </c>
      <c r="C234">
        <v>2</v>
      </c>
      <c r="D234">
        <v>2023</v>
      </c>
      <c r="E234" t="s">
        <v>635</v>
      </c>
      <c r="F234" t="s">
        <v>638</v>
      </c>
      <c r="G234" t="s">
        <v>646</v>
      </c>
      <c r="H234">
        <v>2</v>
      </c>
      <c r="I234">
        <v>2129.3200000000002</v>
      </c>
      <c r="J234">
        <v>416.36</v>
      </c>
      <c r="K234" t="str">
        <f>Table1[[#This Row],[Day]]&amp;"/"&amp;Table1[[#This Row],[Month]]&amp;"/"&amp;Table1[[#This Row],[Year]]</f>
        <v>2/4/2023</v>
      </c>
      <c r="L234" t="str">
        <f>TEXT(Table1[[#This Row],[Order Date]],"MMM")</f>
        <v>Apr</v>
      </c>
      <c r="M234">
        <f>YEAR(Table1[[#This Row],[Year]])</f>
        <v>1905</v>
      </c>
    </row>
    <row r="235" spans="1:13" x14ac:dyDescent="0.25">
      <c r="A235" t="s">
        <v>241</v>
      </c>
      <c r="B235">
        <v>10</v>
      </c>
      <c r="C235">
        <v>6</v>
      </c>
      <c r="D235">
        <v>2022</v>
      </c>
      <c r="E235" t="s">
        <v>635</v>
      </c>
      <c r="F235" t="s">
        <v>637</v>
      </c>
      <c r="G235" t="s">
        <v>640</v>
      </c>
      <c r="H235">
        <v>6</v>
      </c>
      <c r="I235">
        <v>4974.42</v>
      </c>
      <c r="J235">
        <v>1426.38</v>
      </c>
      <c r="K235" t="str">
        <f>Table1[[#This Row],[Day]]&amp;"/"&amp;Table1[[#This Row],[Month]]&amp;"/"&amp;Table1[[#This Row],[Year]]</f>
        <v>6/10/2022</v>
      </c>
      <c r="L235" t="str">
        <f>TEXT(Table1[[#This Row],[Order Date]],"MMM")</f>
        <v>Oct</v>
      </c>
      <c r="M235">
        <f>YEAR(Table1[[#This Row],[Year]])</f>
        <v>1905</v>
      </c>
    </row>
    <row r="236" spans="1:13" x14ac:dyDescent="0.25">
      <c r="A236" t="s">
        <v>242</v>
      </c>
      <c r="B236">
        <v>6</v>
      </c>
      <c r="C236">
        <v>6</v>
      </c>
      <c r="D236">
        <v>2023</v>
      </c>
      <c r="E236" t="s">
        <v>634</v>
      </c>
      <c r="F236" t="s">
        <v>638</v>
      </c>
      <c r="G236" t="s">
        <v>643</v>
      </c>
      <c r="H236">
        <v>8</v>
      </c>
      <c r="I236">
        <v>10285.36</v>
      </c>
      <c r="J236">
        <v>1177.3800000000001</v>
      </c>
      <c r="K236" t="str">
        <f>Table1[[#This Row],[Day]]&amp;"/"&amp;Table1[[#This Row],[Month]]&amp;"/"&amp;Table1[[#This Row],[Year]]</f>
        <v>6/6/2023</v>
      </c>
      <c r="L236" t="str">
        <f>TEXT(Table1[[#This Row],[Order Date]],"MMM")</f>
        <v>Jun</v>
      </c>
      <c r="M236">
        <f>YEAR(Table1[[#This Row],[Year]])</f>
        <v>1905</v>
      </c>
    </row>
    <row r="237" spans="1:13" x14ac:dyDescent="0.25">
      <c r="A237" t="s">
        <v>243</v>
      </c>
      <c r="B237">
        <v>9</v>
      </c>
      <c r="C237">
        <v>17</v>
      </c>
      <c r="D237">
        <v>2023</v>
      </c>
      <c r="E237" t="s">
        <v>634</v>
      </c>
      <c r="F237" t="s">
        <v>638</v>
      </c>
      <c r="G237" t="s">
        <v>646</v>
      </c>
      <c r="H237">
        <v>5</v>
      </c>
      <c r="I237">
        <v>4386.5</v>
      </c>
      <c r="J237">
        <v>1300.51</v>
      </c>
      <c r="K237" t="str">
        <f>Table1[[#This Row],[Day]]&amp;"/"&amp;Table1[[#This Row],[Month]]&amp;"/"&amp;Table1[[#This Row],[Year]]</f>
        <v>17/9/2023</v>
      </c>
      <c r="L237" t="str">
        <f>TEXT(Table1[[#This Row],[Order Date]],"MMM")</f>
        <v>Sep</v>
      </c>
      <c r="M237">
        <f>YEAR(Table1[[#This Row],[Year]])</f>
        <v>1905</v>
      </c>
    </row>
    <row r="238" spans="1:13" x14ac:dyDescent="0.25">
      <c r="A238" t="s">
        <v>244</v>
      </c>
      <c r="B238">
        <v>7</v>
      </c>
      <c r="C238">
        <v>5</v>
      </c>
      <c r="D238">
        <v>2022</v>
      </c>
      <c r="E238" t="s">
        <v>634</v>
      </c>
      <c r="F238" t="s">
        <v>636</v>
      </c>
      <c r="G238" t="s">
        <v>641</v>
      </c>
      <c r="H238">
        <v>6</v>
      </c>
      <c r="I238">
        <v>1755.42</v>
      </c>
      <c r="J238">
        <v>325.02999999999997</v>
      </c>
      <c r="K238" t="str">
        <f>Table1[[#This Row],[Day]]&amp;"/"&amp;Table1[[#This Row],[Month]]&amp;"/"&amp;Table1[[#This Row],[Year]]</f>
        <v>5/7/2022</v>
      </c>
      <c r="L238" t="str">
        <f>TEXT(Table1[[#This Row],[Order Date]],"MMM")</f>
        <v>Jul</v>
      </c>
      <c r="M238">
        <f>YEAR(Table1[[#This Row],[Year]])</f>
        <v>1905</v>
      </c>
    </row>
    <row r="239" spans="1:13" x14ac:dyDescent="0.25">
      <c r="A239" t="s">
        <v>245</v>
      </c>
      <c r="B239">
        <v>3</v>
      </c>
      <c r="C239">
        <v>4</v>
      </c>
      <c r="D239">
        <v>2023</v>
      </c>
      <c r="E239" t="s">
        <v>632</v>
      </c>
      <c r="F239" t="s">
        <v>638</v>
      </c>
      <c r="G239" t="s">
        <v>646</v>
      </c>
      <c r="H239">
        <v>2</v>
      </c>
      <c r="I239">
        <v>1225.3800000000001</v>
      </c>
      <c r="J239">
        <v>177.48</v>
      </c>
      <c r="K239" t="str">
        <f>Table1[[#This Row],[Day]]&amp;"/"&amp;Table1[[#This Row],[Month]]&amp;"/"&amp;Table1[[#This Row],[Year]]</f>
        <v>4/3/2023</v>
      </c>
      <c r="L239" t="str">
        <f>TEXT(Table1[[#This Row],[Order Date]],"MMM")</f>
        <v>Mar</v>
      </c>
      <c r="M239">
        <f>YEAR(Table1[[#This Row],[Year]])</f>
        <v>1905</v>
      </c>
    </row>
    <row r="240" spans="1:13" x14ac:dyDescent="0.25">
      <c r="A240" t="s">
        <v>246</v>
      </c>
      <c r="B240">
        <v>11</v>
      </c>
      <c r="C240">
        <v>5</v>
      </c>
      <c r="D240">
        <v>2023</v>
      </c>
      <c r="E240" t="s">
        <v>634</v>
      </c>
      <c r="F240" t="s">
        <v>638</v>
      </c>
      <c r="G240" t="s">
        <v>643</v>
      </c>
      <c r="H240">
        <v>3</v>
      </c>
      <c r="I240">
        <v>2724.09</v>
      </c>
      <c r="J240">
        <v>322.57</v>
      </c>
      <c r="K240" t="str">
        <f>Table1[[#This Row],[Day]]&amp;"/"&amp;Table1[[#This Row],[Month]]&amp;"/"&amp;Table1[[#This Row],[Year]]</f>
        <v>5/11/2023</v>
      </c>
      <c r="L240" t="str">
        <f>TEXT(Table1[[#This Row],[Order Date]],"MMM")</f>
        <v>Nov</v>
      </c>
      <c r="M240">
        <f>YEAR(Table1[[#This Row],[Year]])</f>
        <v>1905</v>
      </c>
    </row>
    <row r="241" spans="1:13" x14ac:dyDescent="0.25">
      <c r="A241" t="s">
        <v>247</v>
      </c>
      <c r="B241">
        <v>9</v>
      </c>
      <c r="C241">
        <v>21</v>
      </c>
      <c r="D241">
        <v>2023</v>
      </c>
      <c r="E241" t="s">
        <v>635</v>
      </c>
      <c r="F241" t="s">
        <v>636</v>
      </c>
      <c r="G241" t="s">
        <v>647</v>
      </c>
      <c r="H241">
        <v>8</v>
      </c>
      <c r="I241">
        <v>8669.2800000000007</v>
      </c>
      <c r="J241">
        <v>890.53</v>
      </c>
      <c r="K241" t="str">
        <f>Table1[[#This Row],[Day]]&amp;"/"&amp;Table1[[#This Row],[Month]]&amp;"/"&amp;Table1[[#This Row],[Year]]</f>
        <v>21/9/2023</v>
      </c>
      <c r="L241" t="str">
        <f>TEXT(Table1[[#This Row],[Order Date]],"MMM")</f>
        <v>Sep</v>
      </c>
      <c r="M241">
        <f>YEAR(Table1[[#This Row],[Year]])</f>
        <v>1905</v>
      </c>
    </row>
    <row r="242" spans="1:13" x14ac:dyDescent="0.25">
      <c r="A242" t="s">
        <v>248</v>
      </c>
      <c r="B242">
        <v>2</v>
      </c>
      <c r="C242">
        <v>3</v>
      </c>
      <c r="D242">
        <v>2022</v>
      </c>
      <c r="E242" t="s">
        <v>635</v>
      </c>
      <c r="F242" t="s">
        <v>637</v>
      </c>
      <c r="G242" t="s">
        <v>645</v>
      </c>
      <c r="H242">
        <v>2</v>
      </c>
      <c r="I242">
        <v>1000.46</v>
      </c>
      <c r="J242">
        <v>147.24</v>
      </c>
      <c r="K242" t="str">
        <f>Table1[[#This Row],[Day]]&amp;"/"&amp;Table1[[#This Row],[Month]]&amp;"/"&amp;Table1[[#This Row],[Year]]</f>
        <v>3/2/2022</v>
      </c>
      <c r="L242" t="str">
        <f>TEXT(Table1[[#This Row],[Order Date]],"MMM")</f>
        <v>Feb</v>
      </c>
      <c r="M242">
        <f>YEAR(Table1[[#This Row],[Year]])</f>
        <v>1905</v>
      </c>
    </row>
    <row r="243" spans="1:13" x14ac:dyDescent="0.25">
      <c r="A243" t="s">
        <v>249</v>
      </c>
      <c r="B243">
        <v>3</v>
      </c>
      <c r="C243">
        <v>2</v>
      </c>
      <c r="D243">
        <v>2022</v>
      </c>
      <c r="E243" t="s">
        <v>633</v>
      </c>
      <c r="F243" t="s">
        <v>636</v>
      </c>
      <c r="G243" t="s">
        <v>639</v>
      </c>
      <c r="H243">
        <v>1</v>
      </c>
      <c r="I243">
        <v>1276.3800000000001</v>
      </c>
      <c r="J243">
        <v>342.96</v>
      </c>
      <c r="K243" t="str">
        <f>Table1[[#This Row],[Day]]&amp;"/"&amp;Table1[[#This Row],[Month]]&amp;"/"&amp;Table1[[#This Row],[Year]]</f>
        <v>2/3/2022</v>
      </c>
      <c r="L243" t="str">
        <f>TEXT(Table1[[#This Row],[Order Date]],"MMM")</f>
        <v>Mar</v>
      </c>
      <c r="M243">
        <f>YEAR(Table1[[#This Row],[Year]])</f>
        <v>1905</v>
      </c>
    </row>
    <row r="244" spans="1:13" x14ac:dyDescent="0.25">
      <c r="A244" t="s">
        <v>250</v>
      </c>
      <c r="B244">
        <v>9</v>
      </c>
      <c r="C244">
        <v>27</v>
      </c>
      <c r="D244">
        <v>2023</v>
      </c>
      <c r="E244" t="s">
        <v>633</v>
      </c>
      <c r="F244" t="s">
        <v>638</v>
      </c>
      <c r="G244" t="s">
        <v>646</v>
      </c>
      <c r="H244">
        <v>3</v>
      </c>
      <c r="I244">
        <v>4250.5200000000004</v>
      </c>
      <c r="J244">
        <v>974.42</v>
      </c>
      <c r="K244" t="str">
        <f>Table1[[#This Row],[Day]]&amp;"/"&amp;Table1[[#This Row],[Month]]&amp;"/"&amp;Table1[[#This Row],[Year]]</f>
        <v>27/9/2023</v>
      </c>
      <c r="L244" t="str">
        <f>TEXT(Table1[[#This Row],[Order Date]],"MMM")</f>
        <v>Sep</v>
      </c>
      <c r="M244">
        <f>YEAR(Table1[[#This Row],[Year]])</f>
        <v>1905</v>
      </c>
    </row>
    <row r="245" spans="1:13" x14ac:dyDescent="0.25">
      <c r="A245" t="s">
        <v>251</v>
      </c>
      <c r="B245">
        <v>4</v>
      </c>
      <c r="C245">
        <v>1</v>
      </c>
      <c r="D245">
        <v>2023</v>
      </c>
      <c r="E245" t="s">
        <v>632</v>
      </c>
      <c r="F245" t="s">
        <v>636</v>
      </c>
      <c r="G245" t="s">
        <v>639</v>
      </c>
      <c r="H245">
        <v>9</v>
      </c>
      <c r="I245">
        <v>5558.76</v>
      </c>
      <c r="J245">
        <v>829.56</v>
      </c>
      <c r="K245" t="str">
        <f>Table1[[#This Row],[Day]]&amp;"/"&amp;Table1[[#This Row],[Month]]&amp;"/"&amp;Table1[[#This Row],[Year]]</f>
        <v>1/4/2023</v>
      </c>
      <c r="L245" t="str">
        <f>TEXT(Table1[[#This Row],[Order Date]],"MMM")</f>
        <v>Apr</v>
      </c>
      <c r="M245">
        <f>YEAR(Table1[[#This Row],[Year]])</f>
        <v>1905</v>
      </c>
    </row>
    <row r="246" spans="1:13" x14ac:dyDescent="0.25">
      <c r="A246" t="s">
        <v>252</v>
      </c>
      <c r="B246">
        <v>2</v>
      </c>
      <c r="C246">
        <v>21</v>
      </c>
      <c r="D246">
        <v>2023</v>
      </c>
      <c r="E246" t="s">
        <v>635</v>
      </c>
      <c r="F246" t="s">
        <v>638</v>
      </c>
      <c r="G246" t="s">
        <v>643</v>
      </c>
      <c r="H246">
        <v>7</v>
      </c>
      <c r="I246">
        <v>7253.54</v>
      </c>
      <c r="J246">
        <v>1426.57</v>
      </c>
      <c r="K246" t="str">
        <f>Table1[[#This Row],[Day]]&amp;"/"&amp;Table1[[#This Row],[Month]]&amp;"/"&amp;Table1[[#This Row],[Year]]</f>
        <v>21/2/2023</v>
      </c>
      <c r="L246" t="str">
        <f>TEXT(Table1[[#This Row],[Order Date]],"MMM")</f>
        <v>Feb</v>
      </c>
      <c r="M246">
        <f>YEAR(Table1[[#This Row],[Year]])</f>
        <v>1905</v>
      </c>
    </row>
    <row r="247" spans="1:13" x14ac:dyDescent="0.25">
      <c r="A247" t="s">
        <v>253</v>
      </c>
      <c r="B247">
        <v>11</v>
      </c>
      <c r="C247">
        <v>16</v>
      </c>
      <c r="D247">
        <v>2022</v>
      </c>
      <c r="E247" t="s">
        <v>634</v>
      </c>
      <c r="F247" t="s">
        <v>637</v>
      </c>
      <c r="G247" t="s">
        <v>649</v>
      </c>
      <c r="H247">
        <v>6</v>
      </c>
      <c r="I247">
        <v>3458.1</v>
      </c>
      <c r="J247">
        <v>415.14</v>
      </c>
      <c r="K247" t="str">
        <f>Table1[[#This Row],[Day]]&amp;"/"&amp;Table1[[#This Row],[Month]]&amp;"/"&amp;Table1[[#This Row],[Year]]</f>
        <v>16/11/2022</v>
      </c>
      <c r="L247" t="str">
        <f>TEXT(Table1[[#This Row],[Order Date]],"MMM")</f>
        <v>Nov</v>
      </c>
      <c r="M247">
        <f>YEAR(Table1[[#This Row],[Year]])</f>
        <v>1905</v>
      </c>
    </row>
    <row r="248" spans="1:13" x14ac:dyDescent="0.25">
      <c r="A248" t="s">
        <v>254</v>
      </c>
      <c r="B248">
        <v>5</v>
      </c>
      <c r="C248">
        <v>11</v>
      </c>
      <c r="D248">
        <v>2023</v>
      </c>
      <c r="E248" t="s">
        <v>633</v>
      </c>
      <c r="F248" t="s">
        <v>638</v>
      </c>
      <c r="G248" t="s">
        <v>644</v>
      </c>
      <c r="H248">
        <v>6</v>
      </c>
      <c r="I248">
        <v>4775.9399999999996</v>
      </c>
      <c r="J248">
        <v>342.31</v>
      </c>
      <c r="K248" t="str">
        <f>Table1[[#This Row],[Day]]&amp;"/"&amp;Table1[[#This Row],[Month]]&amp;"/"&amp;Table1[[#This Row],[Year]]</f>
        <v>11/5/2023</v>
      </c>
      <c r="L248" t="str">
        <f>TEXT(Table1[[#This Row],[Order Date]],"MMM")</f>
        <v>May</v>
      </c>
      <c r="M248">
        <f>YEAR(Table1[[#This Row],[Year]])</f>
        <v>1905</v>
      </c>
    </row>
    <row r="249" spans="1:13" x14ac:dyDescent="0.25">
      <c r="A249" t="s">
        <v>255</v>
      </c>
      <c r="B249">
        <v>3</v>
      </c>
      <c r="C249">
        <v>10</v>
      </c>
      <c r="D249">
        <v>2022</v>
      </c>
      <c r="E249" t="s">
        <v>635</v>
      </c>
      <c r="F249" t="s">
        <v>638</v>
      </c>
      <c r="G249" t="s">
        <v>646</v>
      </c>
      <c r="H249">
        <v>1</v>
      </c>
      <c r="I249">
        <v>1081.4000000000001</v>
      </c>
      <c r="J249">
        <v>147.91</v>
      </c>
      <c r="K249" t="str">
        <f>Table1[[#This Row],[Day]]&amp;"/"&amp;Table1[[#This Row],[Month]]&amp;"/"&amp;Table1[[#This Row],[Year]]</f>
        <v>10/3/2022</v>
      </c>
      <c r="L249" t="str">
        <f>TEXT(Table1[[#This Row],[Order Date]],"MMM")</f>
        <v>Mar</v>
      </c>
      <c r="M249">
        <f>YEAR(Table1[[#This Row],[Year]])</f>
        <v>1905</v>
      </c>
    </row>
    <row r="250" spans="1:13" x14ac:dyDescent="0.25">
      <c r="A250" t="s">
        <v>256</v>
      </c>
      <c r="B250">
        <v>4</v>
      </c>
      <c r="C250">
        <v>3</v>
      </c>
      <c r="D250">
        <v>2023</v>
      </c>
      <c r="E250" t="s">
        <v>632</v>
      </c>
      <c r="F250" t="s">
        <v>637</v>
      </c>
      <c r="G250" t="s">
        <v>640</v>
      </c>
      <c r="H250">
        <v>2</v>
      </c>
      <c r="I250">
        <v>2804.46</v>
      </c>
      <c r="J250">
        <v>715.26</v>
      </c>
      <c r="K250" t="str">
        <f>Table1[[#This Row],[Day]]&amp;"/"&amp;Table1[[#This Row],[Month]]&amp;"/"&amp;Table1[[#This Row],[Year]]</f>
        <v>3/4/2023</v>
      </c>
      <c r="L250" t="str">
        <f>TEXT(Table1[[#This Row],[Order Date]],"MMM")</f>
        <v>Apr</v>
      </c>
      <c r="M250">
        <f>YEAR(Table1[[#This Row],[Year]])</f>
        <v>1905</v>
      </c>
    </row>
    <row r="251" spans="1:13" x14ac:dyDescent="0.25">
      <c r="A251" t="s">
        <v>257</v>
      </c>
      <c r="B251">
        <v>7</v>
      </c>
      <c r="C251">
        <v>1</v>
      </c>
      <c r="D251">
        <v>2023</v>
      </c>
      <c r="E251" t="s">
        <v>635</v>
      </c>
      <c r="F251" t="s">
        <v>637</v>
      </c>
      <c r="G251" t="s">
        <v>649</v>
      </c>
      <c r="H251">
        <v>7</v>
      </c>
      <c r="I251">
        <v>10298.89</v>
      </c>
      <c r="J251">
        <v>676.85</v>
      </c>
      <c r="K251" t="str">
        <f>Table1[[#This Row],[Day]]&amp;"/"&amp;Table1[[#This Row],[Month]]&amp;"/"&amp;Table1[[#This Row],[Year]]</f>
        <v>1/7/2023</v>
      </c>
      <c r="L251" t="str">
        <f>TEXT(Table1[[#This Row],[Order Date]],"MMM")</f>
        <v>Jul</v>
      </c>
      <c r="M251">
        <f>YEAR(Table1[[#This Row],[Year]])</f>
        <v>1905</v>
      </c>
    </row>
    <row r="252" spans="1:13" x14ac:dyDescent="0.25">
      <c r="A252" t="s">
        <v>258</v>
      </c>
      <c r="B252">
        <v>5</v>
      </c>
      <c r="C252">
        <v>7</v>
      </c>
      <c r="D252">
        <v>2023</v>
      </c>
      <c r="E252" t="s">
        <v>632</v>
      </c>
      <c r="F252" t="s">
        <v>636</v>
      </c>
      <c r="G252" t="s">
        <v>639</v>
      </c>
      <c r="H252">
        <v>2</v>
      </c>
      <c r="I252">
        <v>2947.86</v>
      </c>
      <c r="J252">
        <v>592.24</v>
      </c>
      <c r="K252" t="str">
        <f>Table1[[#This Row],[Day]]&amp;"/"&amp;Table1[[#This Row],[Month]]&amp;"/"&amp;Table1[[#This Row],[Year]]</f>
        <v>7/5/2023</v>
      </c>
      <c r="L252" t="str">
        <f>TEXT(Table1[[#This Row],[Order Date]],"MMM")</f>
        <v>May</v>
      </c>
      <c r="M252">
        <f>YEAR(Table1[[#This Row],[Year]])</f>
        <v>1905</v>
      </c>
    </row>
    <row r="253" spans="1:13" x14ac:dyDescent="0.25">
      <c r="A253" t="s">
        <v>259</v>
      </c>
      <c r="B253">
        <v>1</v>
      </c>
      <c r="C253">
        <v>27</v>
      </c>
      <c r="D253">
        <v>2022</v>
      </c>
      <c r="E253" t="s">
        <v>634</v>
      </c>
      <c r="F253" t="s">
        <v>636</v>
      </c>
      <c r="G253" t="s">
        <v>647</v>
      </c>
      <c r="H253">
        <v>5</v>
      </c>
      <c r="I253">
        <v>2094.4</v>
      </c>
      <c r="J253">
        <v>156.29</v>
      </c>
      <c r="K253" t="str">
        <f>Table1[[#This Row],[Day]]&amp;"/"&amp;Table1[[#This Row],[Month]]&amp;"/"&amp;Table1[[#This Row],[Year]]</f>
        <v>27/1/2022</v>
      </c>
      <c r="L253" t="str">
        <f>TEXT(Table1[[#This Row],[Order Date]],"MMM")</f>
        <v>Jan</v>
      </c>
      <c r="M253">
        <f>YEAR(Table1[[#This Row],[Year]])</f>
        <v>1905</v>
      </c>
    </row>
    <row r="254" spans="1:13" x14ac:dyDescent="0.25">
      <c r="A254" t="s">
        <v>260</v>
      </c>
      <c r="B254">
        <v>4</v>
      </c>
      <c r="C254">
        <v>13</v>
      </c>
      <c r="D254">
        <v>2022</v>
      </c>
      <c r="E254" t="s">
        <v>635</v>
      </c>
      <c r="F254" t="s">
        <v>637</v>
      </c>
      <c r="G254" t="s">
        <v>640</v>
      </c>
      <c r="H254">
        <v>4</v>
      </c>
      <c r="I254">
        <v>3788.4</v>
      </c>
      <c r="J254">
        <v>342.16</v>
      </c>
      <c r="K254" t="str">
        <f>Table1[[#This Row],[Day]]&amp;"/"&amp;Table1[[#This Row],[Month]]&amp;"/"&amp;Table1[[#This Row],[Year]]</f>
        <v>13/4/2022</v>
      </c>
      <c r="L254" t="str">
        <f>TEXT(Table1[[#This Row],[Order Date]],"MMM")</f>
        <v>Apr</v>
      </c>
      <c r="M254">
        <f>YEAR(Table1[[#This Row],[Year]])</f>
        <v>1905</v>
      </c>
    </row>
    <row r="255" spans="1:13" x14ac:dyDescent="0.25">
      <c r="A255" t="s">
        <v>261</v>
      </c>
      <c r="B255">
        <v>11</v>
      </c>
      <c r="C255">
        <v>22</v>
      </c>
      <c r="D255">
        <v>2023</v>
      </c>
      <c r="E255" t="s">
        <v>632</v>
      </c>
      <c r="F255" t="s">
        <v>637</v>
      </c>
      <c r="G255" t="s">
        <v>649</v>
      </c>
      <c r="H255">
        <v>2</v>
      </c>
      <c r="I255">
        <v>644.26</v>
      </c>
      <c r="J255">
        <v>129.1</v>
      </c>
      <c r="K255" t="str">
        <f>Table1[[#This Row],[Day]]&amp;"/"&amp;Table1[[#This Row],[Month]]&amp;"/"&amp;Table1[[#This Row],[Year]]</f>
        <v>22/11/2023</v>
      </c>
      <c r="L255" t="str">
        <f>TEXT(Table1[[#This Row],[Order Date]],"MMM")</f>
        <v>Nov</v>
      </c>
      <c r="M255">
        <f>YEAR(Table1[[#This Row],[Year]])</f>
        <v>1905</v>
      </c>
    </row>
    <row r="256" spans="1:13" x14ac:dyDescent="0.25">
      <c r="A256" t="s">
        <v>262</v>
      </c>
      <c r="B256">
        <v>5</v>
      </c>
      <c r="C256">
        <v>21</v>
      </c>
      <c r="D256">
        <v>2023</v>
      </c>
      <c r="E256" t="s">
        <v>635</v>
      </c>
      <c r="F256" t="s">
        <v>636</v>
      </c>
      <c r="G256" t="s">
        <v>648</v>
      </c>
      <c r="H256">
        <v>2</v>
      </c>
      <c r="I256">
        <v>2477.16</v>
      </c>
      <c r="J256">
        <v>174.3</v>
      </c>
      <c r="K256" t="str">
        <f>Table1[[#This Row],[Day]]&amp;"/"&amp;Table1[[#This Row],[Month]]&amp;"/"&amp;Table1[[#This Row],[Year]]</f>
        <v>21/5/2023</v>
      </c>
      <c r="L256" t="str">
        <f>TEXT(Table1[[#This Row],[Order Date]],"MMM")</f>
        <v>May</v>
      </c>
      <c r="M256">
        <f>YEAR(Table1[[#This Row],[Year]])</f>
        <v>1905</v>
      </c>
    </row>
    <row r="257" spans="1:13" x14ac:dyDescent="0.25">
      <c r="A257" t="s">
        <v>263</v>
      </c>
      <c r="B257">
        <v>8</v>
      </c>
      <c r="C257">
        <v>12</v>
      </c>
      <c r="D257">
        <v>2023</v>
      </c>
      <c r="E257" t="s">
        <v>634</v>
      </c>
      <c r="F257" t="s">
        <v>638</v>
      </c>
      <c r="G257" t="s">
        <v>646</v>
      </c>
      <c r="H257">
        <v>9</v>
      </c>
      <c r="I257">
        <v>753.48</v>
      </c>
      <c r="J257">
        <v>42.32</v>
      </c>
      <c r="K257" t="str">
        <f>Table1[[#This Row],[Day]]&amp;"/"&amp;Table1[[#This Row],[Month]]&amp;"/"&amp;Table1[[#This Row],[Year]]</f>
        <v>12/8/2023</v>
      </c>
      <c r="L257" t="str">
        <f>TEXT(Table1[[#This Row],[Order Date]],"MMM")</f>
        <v>Aug</v>
      </c>
      <c r="M257">
        <f>YEAR(Table1[[#This Row],[Year]])</f>
        <v>1905</v>
      </c>
    </row>
    <row r="258" spans="1:13" x14ac:dyDescent="0.25">
      <c r="A258" t="s">
        <v>264</v>
      </c>
      <c r="B258">
        <v>4</v>
      </c>
      <c r="C258">
        <v>5</v>
      </c>
      <c r="D258">
        <v>2022</v>
      </c>
      <c r="E258" t="s">
        <v>634</v>
      </c>
      <c r="F258" t="s">
        <v>638</v>
      </c>
      <c r="G258" t="s">
        <v>646</v>
      </c>
      <c r="H258">
        <v>4</v>
      </c>
      <c r="I258">
        <v>4057.24</v>
      </c>
      <c r="J258">
        <v>402.26</v>
      </c>
      <c r="K258" t="str">
        <f>Table1[[#This Row],[Day]]&amp;"/"&amp;Table1[[#This Row],[Month]]&amp;"/"&amp;Table1[[#This Row],[Year]]</f>
        <v>5/4/2022</v>
      </c>
      <c r="L258" t="str">
        <f>TEXT(Table1[[#This Row],[Order Date]],"MMM")</f>
        <v>Apr</v>
      </c>
      <c r="M258">
        <f>YEAR(Table1[[#This Row],[Year]])</f>
        <v>1905</v>
      </c>
    </row>
    <row r="259" spans="1:13" x14ac:dyDescent="0.25">
      <c r="A259" t="s">
        <v>265</v>
      </c>
      <c r="B259">
        <v>9</v>
      </c>
      <c r="C259">
        <v>17</v>
      </c>
      <c r="D259">
        <v>2023</v>
      </c>
      <c r="E259" t="s">
        <v>633</v>
      </c>
      <c r="F259" t="s">
        <v>638</v>
      </c>
      <c r="G259" t="s">
        <v>644</v>
      </c>
      <c r="H259">
        <v>9</v>
      </c>
      <c r="I259">
        <v>8178.03</v>
      </c>
      <c r="J259">
        <v>1831.58</v>
      </c>
      <c r="K259" t="str">
        <f>Table1[[#This Row],[Day]]&amp;"/"&amp;Table1[[#This Row],[Month]]&amp;"/"&amp;Table1[[#This Row],[Year]]</f>
        <v>17/9/2023</v>
      </c>
      <c r="L259" t="str">
        <f>TEXT(Table1[[#This Row],[Order Date]],"MMM")</f>
        <v>Sep</v>
      </c>
      <c r="M259">
        <f>YEAR(Table1[[#This Row],[Year]])</f>
        <v>1905</v>
      </c>
    </row>
    <row r="260" spans="1:13" x14ac:dyDescent="0.25">
      <c r="A260" t="s">
        <v>266</v>
      </c>
      <c r="B260">
        <v>4</v>
      </c>
      <c r="C260">
        <v>18</v>
      </c>
      <c r="D260">
        <v>2023</v>
      </c>
      <c r="E260" t="s">
        <v>633</v>
      </c>
      <c r="F260" t="s">
        <v>638</v>
      </c>
      <c r="G260" t="s">
        <v>642</v>
      </c>
      <c r="H260">
        <v>7</v>
      </c>
      <c r="I260">
        <v>8024.45</v>
      </c>
      <c r="J260">
        <v>549.66999999999996</v>
      </c>
      <c r="K260" t="str">
        <f>Table1[[#This Row],[Day]]&amp;"/"&amp;Table1[[#This Row],[Month]]&amp;"/"&amp;Table1[[#This Row],[Year]]</f>
        <v>18/4/2023</v>
      </c>
      <c r="L260" t="str">
        <f>TEXT(Table1[[#This Row],[Order Date]],"MMM")</f>
        <v>Apr</v>
      </c>
      <c r="M260">
        <f>YEAR(Table1[[#This Row],[Year]])</f>
        <v>1905</v>
      </c>
    </row>
    <row r="261" spans="1:13" x14ac:dyDescent="0.25">
      <c r="A261" t="s">
        <v>267</v>
      </c>
      <c r="B261">
        <v>12</v>
      </c>
      <c r="C261">
        <v>16</v>
      </c>
      <c r="D261">
        <v>2023</v>
      </c>
      <c r="E261" t="s">
        <v>632</v>
      </c>
      <c r="F261" t="s">
        <v>638</v>
      </c>
      <c r="G261" t="s">
        <v>642</v>
      </c>
      <c r="H261">
        <v>9</v>
      </c>
      <c r="I261">
        <v>4461.84</v>
      </c>
      <c r="J261">
        <v>905.09</v>
      </c>
      <c r="K261" t="str">
        <f>Table1[[#This Row],[Day]]&amp;"/"&amp;Table1[[#This Row],[Month]]&amp;"/"&amp;Table1[[#This Row],[Year]]</f>
        <v>16/12/2023</v>
      </c>
      <c r="L261" t="str">
        <f>TEXT(Table1[[#This Row],[Order Date]],"MMM")</f>
        <v>Dec</v>
      </c>
      <c r="M261">
        <f>YEAR(Table1[[#This Row],[Year]])</f>
        <v>1905</v>
      </c>
    </row>
    <row r="262" spans="1:13" x14ac:dyDescent="0.25">
      <c r="A262" t="s">
        <v>268</v>
      </c>
      <c r="B262">
        <v>5</v>
      </c>
      <c r="C262">
        <v>2</v>
      </c>
      <c r="D262">
        <v>2022</v>
      </c>
      <c r="E262" t="s">
        <v>635</v>
      </c>
      <c r="F262" t="s">
        <v>637</v>
      </c>
      <c r="G262" t="s">
        <v>645</v>
      </c>
      <c r="H262">
        <v>7</v>
      </c>
      <c r="I262">
        <v>5049.8</v>
      </c>
      <c r="J262">
        <v>1237.8</v>
      </c>
      <c r="K262" t="str">
        <f>Table1[[#This Row],[Day]]&amp;"/"&amp;Table1[[#This Row],[Month]]&amp;"/"&amp;Table1[[#This Row],[Year]]</f>
        <v>2/5/2022</v>
      </c>
      <c r="L262" t="str">
        <f>TEXT(Table1[[#This Row],[Order Date]],"MMM")</f>
        <v>May</v>
      </c>
      <c r="M262">
        <f>YEAR(Table1[[#This Row],[Year]])</f>
        <v>1905</v>
      </c>
    </row>
    <row r="263" spans="1:13" x14ac:dyDescent="0.25">
      <c r="A263" t="s">
        <v>269</v>
      </c>
      <c r="B263">
        <v>4</v>
      </c>
      <c r="C263">
        <v>2</v>
      </c>
      <c r="D263">
        <v>2022</v>
      </c>
      <c r="E263" t="s">
        <v>635</v>
      </c>
      <c r="F263" t="s">
        <v>638</v>
      </c>
      <c r="G263" t="s">
        <v>643</v>
      </c>
      <c r="H263">
        <v>4</v>
      </c>
      <c r="I263">
        <v>3734.16</v>
      </c>
      <c r="J263">
        <v>229.35</v>
      </c>
      <c r="K263" t="str">
        <f>Table1[[#This Row],[Day]]&amp;"/"&amp;Table1[[#This Row],[Month]]&amp;"/"&amp;Table1[[#This Row],[Year]]</f>
        <v>2/4/2022</v>
      </c>
      <c r="L263" t="str">
        <f>TEXT(Table1[[#This Row],[Order Date]],"MMM")</f>
        <v>Apr</v>
      </c>
      <c r="M263">
        <f>YEAR(Table1[[#This Row],[Year]])</f>
        <v>1905</v>
      </c>
    </row>
    <row r="264" spans="1:13" x14ac:dyDescent="0.25">
      <c r="A264" t="s">
        <v>270</v>
      </c>
      <c r="B264">
        <v>6</v>
      </c>
      <c r="C264">
        <v>12</v>
      </c>
      <c r="D264">
        <v>2023</v>
      </c>
      <c r="E264" t="s">
        <v>633</v>
      </c>
      <c r="F264" t="s">
        <v>636</v>
      </c>
      <c r="G264" t="s">
        <v>639</v>
      </c>
      <c r="H264">
        <v>1</v>
      </c>
      <c r="I264">
        <v>932.77</v>
      </c>
      <c r="J264">
        <v>69.58</v>
      </c>
      <c r="K264" t="str">
        <f>Table1[[#This Row],[Day]]&amp;"/"&amp;Table1[[#This Row],[Month]]&amp;"/"&amp;Table1[[#This Row],[Year]]</f>
        <v>12/6/2023</v>
      </c>
      <c r="L264" t="str">
        <f>TEXT(Table1[[#This Row],[Order Date]],"MMM")</f>
        <v>Jun</v>
      </c>
      <c r="M264">
        <f>YEAR(Table1[[#This Row],[Year]])</f>
        <v>1905</v>
      </c>
    </row>
    <row r="265" spans="1:13" x14ac:dyDescent="0.25">
      <c r="A265" t="s">
        <v>271</v>
      </c>
      <c r="B265">
        <v>10</v>
      </c>
      <c r="C265">
        <v>11</v>
      </c>
      <c r="D265">
        <v>2023</v>
      </c>
      <c r="E265" t="s">
        <v>634</v>
      </c>
      <c r="F265" t="s">
        <v>636</v>
      </c>
      <c r="G265" t="s">
        <v>647</v>
      </c>
      <c r="H265">
        <v>9</v>
      </c>
      <c r="I265">
        <v>11506.86</v>
      </c>
      <c r="J265">
        <v>2369.86</v>
      </c>
      <c r="K265" t="str">
        <f>Table1[[#This Row],[Day]]&amp;"/"&amp;Table1[[#This Row],[Month]]&amp;"/"&amp;Table1[[#This Row],[Year]]</f>
        <v>11/10/2023</v>
      </c>
      <c r="L265" t="str">
        <f>TEXT(Table1[[#This Row],[Order Date]],"MMM")</f>
        <v>Oct</v>
      </c>
      <c r="M265">
        <f>YEAR(Table1[[#This Row],[Year]])</f>
        <v>1905</v>
      </c>
    </row>
    <row r="266" spans="1:13" x14ac:dyDescent="0.25">
      <c r="A266" t="s">
        <v>272</v>
      </c>
      <c r="B266">
        <v>9</v>
      </c>
      <c r="C266">
        <v>21</v>
      </c>
      <c r="D266">
        <v>2023</v>
      </c>
      <c r="E266" t="s">
        <v>632</v>
      </c>
      <c r="F266" t="s">
        <v>638</v>
      </c>
      <c r="G266" t="s">
        <v>642</v>
      </c>
      <c r="H266">
        <v>1</v>
      </c>
      <c r="I266">
        <v>374.83</v>
      </c>
      <c r="J266">
        <v>35.11</v>
      </c>
      <c r="K266" t="str">
        <f>Table1[[#This Row],[Day]]&amp;"/"&amp;Table1[[#This Row],[Month]]&amp;"/"&amp;Table1[[#This Row],[Year]]</f>
        <v>21/9/2023</v>
      </c>
      <c r="L266" t="str">
        <f>TEXT(Table1[[#This Row],[Order Date]],"MMM")</f>
        <v>Sep</v>
      </c>
      <c r="M266">
        <f>YEAR(Table1[[#This Row],[Year]])</f>
        <v>1905</v>
      </c>
    </row>
    <row r="267" spans="1:13" x14ac:dyDescent="0.25">
      <c r="A267" t="s">
        <v>273</v>
      </c>
      <c r="B267">
        <v>5</v>
      </c>
      <c r="C267">
        <v>26</v>
      </c>
      <c r="D267">
        <v>2022</v>
      </c>
      <c r="E267" t="s">
        <v>635</v>
      </c>
      <c r="F267" t="s">
        <v>638</v>
      </c>
      <c r="G267" t="s">
        <v>644</v>
      </c>
      <c r="H267">
        <v>1</v>
      </c>
      <c r="I267">
        <v>351.43</v>
      </c>
      <c r="J267">
        <v>67.47</v>
      </c>
      <c r="K267" t="str">
        <f>Table1[[#This Row],[Day]]&amp;"/"&amp;Table1[[#This Row],[Month]]&amp;"/"&amp;Table1[[#This Row],[Year]]</f>
        <v>26/5/2022</v>
      </c>
      <c r="L267" t="str">
        <f>TEXT(Table1[[#This Row],[Order Date]],"MMM")</f>
        <v>May</v>
      </c>
      <c r="M267">
        <f>YEAR(Table1[[#This Row],[Year]])</f>
        <v>1905</v>
      </c>
    </row>
    <row r="268" spans="1:13" x14ac:dyDescent="0.25">
      <c r="A268" t="s">
        <v>274</v>
      </c>
      <c r="B268">
        <v>8</v>
      </c>
      <c r="C268">
        <v>19</v>
      </c>
      <c r="D268">
        <v>2023</v>
      </c>
      <c r="E268" t="s">
        <v>634</v>
      </c>
      <c r="F268" t="s">
        <v>637</v>
      </c>
      <c r="G268" t="s">
        <v>640</v>
      </c>
      <c r="H268">
        <v>8</v>
      </c>
      <c r="I268">
        <v>2526.8000000000002</v>
      </c>
      <c r="J268">
        <v>572.39</v>
      </c>
      <c r="K268" t="str">
        <f>Table1[[#This Row],[Day]]&amp;"/"&amp;Table1[[#This Row],[Month]]&amp;"/"&amp;Table1[[#This Row],[Year]]</f>
        <v>19/8/2023</v>
      </c>
      <c r="L268" t="str">
        <f>TEXT(Table1[[#This Row],[Order Date]],"MMM")</f>
        <v>Aug</v>
      </c>
      <c r="M268">
        <f>YEAR(Table1[[#This Row],[Year]])</f>
        <v>1905</v>
      </c>
    </row>
    <row r="269" spans="1:13" x14ac:dyDescent="0.25">
      <c r="A269" t="s">
        <v>275</v>
      </c>
      <c r="B269">
        <v>6</v>
      </c>
      <c r="C269">
        <v>2</v>
      </c>
      <c r="D269">
        <v>2022</v>
      </c>
      <c r="E269" t="s">
        <v>635</v>
      </c>
      <c r="F269" t="s">
        <v>637</v>
      </c>
      <c r="G269" t="s">
        <v>640</v>
      </c>
      <c r="H269">
        <v>9</v>
      </c>
      <c r="I269">
        <v>3881.97</v>
      </c>
      <c r="J269">
        <v>848.05</v>
      </c>
      <c r="K269" t="str">
        <f>Table1[[#This Row],[Day]]&amp;"/"&amp;Table1[[#This Row],[Month]]&amp;"/"&amp;Table1[[#This Row],[Year]]</f>
        <v>2/6/2022</v>
      </c>
      <c r="L269" t="str">
        <f>TEXT(Table1[[#This Row],[Order Date]],"MMM")</f>
        <v>Jun</v>
      </c>
      <c r="M269">
        <f>YEAR(Table1[[#This Row],[Year]])</f>
        <v>1905</v>
      </c>
    </row>
    <row r="270" spans="1:13" x14ac:dyDescent="0.25">
      <c r="A270" t="s">
        <v>276</v>
      </c>
      <c r="B270">
        <v>5</v>
      </c>
      <c r="C270">
        <v>26</v>
      </c>
      <c r="D270">
        <v>2023</v>
      </c>
      <c r="E270" t="s">
        <v>634</v>
      </c>
      <c r="F270" t="s">
        <v>638</v>
      </c>
      <c r="G270" t="s">
        <v>643</v>
      </c>
      <c r="H270">
        <v>4</v>
      </c>
      <c r="I270">
        <v>2038.48</v>
      </c>
      <c r="J270">
        <v>362.14</v>
      </c>
      <c r="K270" t="str">
        <f>Table1[[#This Row],[Day]]&amp;"/"&amp;Table1[[#This Row],[Month]]&amp;"/"&amp;Table1[[#This Row],[Year]]</f>
        <v>26/5/2023</v>
      </c>
      <c r="L270" t="str">
        <f>TEXT(Table1[[#This Row],[Order Date]],"MMM")</f>
        <v>May</v>
      </c>
      <c r="M270">
        <f>YEAR(Table1[[#This Row],[Year]])</f>
        <v>1905</v>
      </c>
    </row>
    <row r="271" spans="1:13" x14ac:dyDescent="0.25">
      <c r="A271" t="s">
        <v>277</v>
      </c>
      <c r="B271">
        <v>6</v>
      </c>
      <c r="C271">
        <v>22</v>
      </c>
      <c r="D271">
        <v>2022</v>
      </c>
      <c r="E271" t="s">
        <v>632</v>
      </c>
      <c r="F271" t="s">
        <v>638</v>
      </c>
      <c r="G271" t="s">
        <v>643</v>
      </c>
      <c r="H271">
        <v>4</v>
      </c>
      <c r="I271">
        <v>4578.8</v>
      </c>
      <c r="J271">
        <v>999.22</v>
      </c>
      <c r="K271" t="str">
        <f>Table1[[#This Row],[Day]]&amp;"/"&amp;Table1[[#This Row],[Month]]&amp;"/"&amp;Table1[[#This Row],[Year]]</f>
        <v>22/6/2022</v>
      </c>
      <c r="L271" t="str">
        <f>TEXT(Table1[[#This Row],[Order Date]],"MMM")</f>
        <v>Jun</v>
      </c>
      <c r="M271">
        <f>YEAR(Table1[[#This Row],[Year]])</f>
        <v>1905</v>
      </c>
    </row>
    <row r="272" spans="1:13" x14ac:dyDescent="0.25">
      <c r="A272" t="s">
        <v>278</v>
      </c>
      <c r="B272">
        <v>5</v>
      </c>
      <c r="C272">
        <v>3</v>
      </c>
      <c r="D272">
        <v>2022</v>
      </c>
      <c r="E272" t="s">
        <v>634</v>
      </c>
      <c r="F272" t="s">
        <v>638</v>
      </c>
      <c r="G272" t="s">
        <v>646</v>
      </c>
      <c r="H272">
        <v>2</v>
      </c>
      <c r="I272">
        <v>1640.44</v>
      </c>
      <c r="J272">
        <v>270.67</v>
      </c>
      <c r="K272" t="str">
        <f>Table1[[#This Row],[Day]]&amp;"/"&amp;Table1[[#This Row],[Month]]&amp;"/"&amp;Table1[[#This Row],[Year]]</f>
        <v>3/5/2022</v>
      </c>
      <c r="L272" t="str">
        <f>TEXT(Table1[[#This Row],[Order Date]],"MMM")</f>
        <v>May</v>
      </c>
      <c r="M272">
        <f>YEAR(Table1[[#This Row],[Year]])</f>
        <v>1905</v>
      </c>
    </row>
    <row r="273" spans="1:13" x14ac:dyDescent="0.25">
      <c r="A273" t="s">
        <v>279</v>
      </c>
      <c r="B273">
        <v>11</v>
      </c>
      <c r="C273">
        <v>3</v>
      </c>
      <c r="D273">
        <v>2022</v>
      </c>
      <c r="E273" t="s">
        <v>635</v>
      </c>
      <c r="F273" t="s">
        <v>638</v>
      </c>
      <c r="G273" t="s">
        <v>643</v>
      </c>
      <c r="H273">
        <v>4</v>
      </c>
      <c r="I273">
        <v>2737.92</v>
      </c>
      <c r="J273">
        <v>540.16999999999996</v>
      </c>
      <c r="K273" t="str">
        <f>Table1[[#This Row],[Day]]&amp;"/"&amp;Table1[[#This Row],[Month]]&amp;"/"&amp;Table1[[#This Row],[Year]]</f>
        <v>3/11/2022</v>
      </c>
      <c r="L273" t="str">
        <f>TEXT(Table1[[#This Row],[Order Date]],"MMM")</f>
        <v>Nov</v>
      </c>
      <c r="M273">
        <f>YEAR(Table1[[#This Row],[Year]])</f>
        <v>1905</v>
      </c>
    </row>
    <row r="274" spans="1:13" x14ac:dyDescent="0.25">
      <c r="A274" t="s">
        <v>280</v>
      </c>
      <c r="B274">
        <v>12</v>
      </c>
      <c r="C274">
        <v>6</v>
      </c>
      <c r="D274">
        <v>2022</v>
      </c>
      <c r="E274" t="s">
        <v>632</v>
      </c>
      <c r="F274" t="s">
        <v>638</v>
      </c>
      <c r="G274" t="s">
        <v>644</v>
      </c>
      <c r="H274">
        <v>4</v>
      </c>
      <c r="I274">
        <v>5935.28</v>
      </c>
      <c r="J274">
        <v>548.36</v>
      </c>
      <c r="K274" t="str">
        <f>Table1[[#This Row],[Day]]&amp;"/"&amp;Table1[[#This Row],[Month]]&amp;"/"&amp;Table1[[#This Row],[Year]]</f>
        <v>6/12/2022</v>
      </c>
      <c r="L274" t="str">
        <f>TEXT(Table1[[#This Row],[Order Date]],"MMM")</f>
        <v>Dec</v>
      </c>
      <c r="M274">
        <f>YEAR(Table1[[#This Row],[Year]])</f>
        <v>1905</v>
      </c>
    </row>
    <row r="275" spans="1:13" x14ac:dyDescent="0.25">
      <c r="A275" t="s">
        <v>281</v>
      </c>
      <c r="B275">
        <v>9</v>
      </c>
      <c r="C275">
        <v>23</v>
      </c>
      <c r="D275">
        <v>2023</v>
      </c>
      <c r="E275" t="s">
        <v>632</v>
      </c>
      <c r="F275" t="s">
        <v>636</v>
      </c>
      <c r="G275" t="s">
        <v>647</v>
      </c>
      <c r="H275">
        <v>8</v>
      </c>
      <c r="I275">
        <v>7512.48</v>
      </c>
      <c r="J275">
        <v>1730.72</v>
      </c>
      <c r="K275" t="str">
        <f>Table1[[#This Row],[Day]]&amp;"/"&amp;Table1[[#This Row],[Month]]&amp;"/"&amp;Table1[[#This Row],[Year]]</f>
        <v>23/9/2023</v>
      </c>
      <c r="L275" t="str">
        <f>TEXT(Table1[[#This Row],[Order Date]],"MMM")</f>
        <v>Sep</v>
      </c>
      <c r="M275">
        <f>YEAR(Table1[[#This Row],[Year]])</f>
        <v>1905</v>
      </c>
    </row>
    <row r="276" spans="1:13" x14ac:dyDescent="0.25">
      <c r="A276" t="s">
        <v>282</v>
      </c>
      <c r="B276">
        <v>3</v>
      </c>
      <c r="C276">
        <v>24</v>
      </c>
      <c r="D276">
        <v>2022</v>
      </c>
      <c r="E276" t="s">
        <v>635</v>
      </c>
      <c r="F276" t="s">
        <v>636</v>
      </c>
      <c r="G276" t="s">
        <v>647</v>
      </c>
      <c r="H276">
        <v>3</v>
      </c>
      <c r="I276">
        <v>3590.46</v>
      </c>
      <c r="J276">
        <v>692.78</v>
      </c>
      <c r="K276" t="str">
        <f>Table1[[#This Row],[Day]]&amp;"/"&amp;Table1[[#This Row],[Month]]&amp;"/"&amp;Table1[[#This Row],[Year]]</f>
        <v>24/3/2022</v>
      </c>
      <c r="L276" t="str">
        <f>TEXT(Table1[[#This Row],[Order Date]],"MMM")</f>
        <v>Mar</v>
      </c>
      <c r="M276">
        <f>YEAR(Table1[[#This Row],[Year]])</f>
        <v>1905</v>
      </c>
    </row>
    <row r="277" spans="1:13" x14ac:dyDescent="0.25">
      <c r="A277" t="s">
        <v>283</v>
      </c>
      <c r="B277">
        <v>12</v>
      </c>
      <c r="C277">
        <v>31</v>
      </c>
      <c r="D277">
        <v>2022</v>
      </c>
      <c r="E277" t="s">
        <v>633</v>
      </c>
      <c r="F277" t="s">
        <v>638</v>
      </c>
      <c r="G277" t="s">
        <v>646</v>
      </c>
      <c r="H277">
        <v>8</v>
      </c>
      <c r="I277">
        <v>11622.24</v>
      </c>
      <c r="J277">
        <v>745.71</v>
      </c>
      <c r="K277" t="str">
        <f>Table1[[#This Row],[Day]]&amp;"/"&amp;Table1[[#This Row],[Month]]&amp;"/"&amp;Table1[[#This Row],[Year]]</f>
        <v>31/12/2022</v>
      </c>
      <c r="L277" t="str">
        <f>TEXT(Table1[[#This Row],[Order Date]],"MMM")</f>
        <v>Dec</v>
      </c>
      <c r="M277">
        <f>YEAR(Table1[[#This Row],[Year]])</f>
        <v>1905</v>
      </c>
    </row>
    <row r="278" spans="1:13" x14ac:dyDescent="0.25">
      <c r="A278" t="s">
        <v>284</v>
      </c>
      <c r="B278">
        <v>5</v>
      </c>
      <c r="C278">
        <v>22</v>
      </c>
      <c r="D278">
        <v>2023</v>
      </c>
      <c r="E278" t="s">
        <v>634</v>
      </c>
      <c r="F278" t="s">
        <v>636</v>
      </c>
      <c r="G278" t="s">
        <v>641</v>
      </c>
      <c r="H278">
        <v>6</v>
      </c>
      <c r="I278">
        <v>288.54000000000002</v>
      </c>
      <c r="J278">
        <v>21.59</v>
      </c>
      <c r="K278" t="str">
        <f>Table1[[#This Row],[Day]]&amp;"/"&amp;Table1[[#This Row],[Month]]&amp;"/"&amp;Table1[[#This Row],[Year]]</f>
        <v>22/5/2023</v>
      </c>
      <c r="L278" t="str">
        <f>TEXT(Table1[[#This Row],[Order Date]],"MMM")</f>
        <v>May</v>
      </c>
      <c r="M278">
        <f>YEAR(Table1[[#This Row],[Year]])</f>
        <v>1905</v>
      </c>
    </row>
    <row r="279" spans="1:13" x14ac:dyDescent="0.25">
      <c r="A279" t="s">
        <v>285</v>
      </c>
      <c r="B279">
        <v>11</v>
      </c>
      <c r="C279">
        <v>13</v>
      </c>
      <c r="D279">
        <v>2022</v>
      </c>
      <c r="E279" t="s">
        <v>634</v>
      </c>
      <c r="F279" t="s">
        <v>638</v>
      </c>
      <c r="G279" t="s">
        <v>646</v>
      </c>
      <c r="H279">
        <v>8</v>
      </c>
      <c r="I279">
        <v>3729.28</v>
      </c>
      <c r="J279">
        <v>475.23</v>
      </c>
      <c r="K279" t="str">
        <f>Table1[[#This Row],[Day]]&amp;"/"&amp;Table1[[#This Row],[Month]]&amp;"/"&amp;Table1[[#This Row],[Year]]</f>
        <v>13/11/2022</v>
      </c>
      <c r="L279" t="str">
        <f>TEXT(Table1[[#This Row],[Order Date]],"MMM")</f>
        <v>Nov</v>
      </c>
      <c r="M279">
        <f>YEAR(Table1[[#This Row],[Year]])</f>
        <v>1905</v>
      </c>
    </row>
    <row r="280" spans="1:13" x14ac:dyDescent="0.25">
      <c r="A280" t="s">
        <v>286</v>
      </c>
      <c r="B280">
        <v>2</v>
      </c>
      <c r="C280">
        <v>11</v>
      </c>
      <c r="D280">
        <v>2022</v>
      </c>
      <c r="E280" t="s">
        <v>632</v>
      </c>
      <c r="F280" t="s">
        <v>638</v>
      </c>
      <c r="G280" t="s">
        <v>644</v>
      </c>
      <c r="H280">
        <v>2</v>
      </c>
      <c r="I280">
        <v>743.84</v>
      </c>
      <c r="J280">
        <v>114.89</v>
      </c>
      <c r="K280" t="str">
        <f>Table1[[#This Row],[Day]]&amp;"/"&amp;Table1[[#This Row],[Month]]&amp;"/"&amp;Table1[[#This Row],[Year]]</f>
        <v>11/2/2022</v>
      </c>
      <c r="L280" t="str">
        <f>TEXT(Table1[[#This Row],[Order Date]],"MMM")</f>
        <v>Feb</v>
      </c>
      <c r="M280">
        <f>YEAR(Table1[[#This Row],[Year]])</f>
        <v>1905</v>
      </c>
    </row>
    <row r="281" spans="1:13" x14ac:dyDescent="0.25">
      <c r="A281" t="s">
        <v>287</v>
      </c>
      <c r="B281">
        <v>1</v>
      </c>
      <c r="C281">
        <v>15</v>
      </c>
      <c r="D281">
        <v>2023</v>
      </c>
      <c r="E281" t="s">
        <v>635</v>
      </c>
      <c r="F281" t="s">
        <v>636</v>
      </c>
      <c r="G281" t="s">
        <v>647</v>
      </c>
      <c r="H281">
        <v>2</v>
      </c>
      <c r="I281">
        <v>2622.8</v>
      </c>
      <c r="J281">
        <v>327.08999999999997</v>
      </c>
      <c r="K281" t="str">
        <f>Table1[[#This Row],[Day]]&amp;"/"&amp;Table1[[#This Row],[Month]]&amp;"/"&amp;Table1[[#This Row],[Year]]</f>
        <v>15/1/2023</v>
      </c>
      <c r="L281" t="str">
        <f>TEXT(Table1[[#This Row],[Order Date]],"MMM")</f>
        <v>Jan</v>
      </c>
      <c r="M281">
        <f>YEAR(Table1[[#This Row],[Year]])</f>
        <v>1905</v>
      </c>
    </row>
    <row r="282" spans="1:13" x14ac:dyDescent="0.25">
      <c r="A282" t="s">
        <v>288</v>
      </c>
      <c r="B282">
        <v>2</v>
      </c>
      <c r="C282">
        <v>26</v>
      </c>
      <c r="D282">
        <v>2022</v>
      </c>
      <c r="E282" t="s">
        <v>633</v>
      </c>
      <c r="F282" t="s">
        <v>636</v>
      </c>
      <c r="G282" t="s">
        <v>647</v>
      </c>
      <c r="H282">
        <v>9</v>
      </c>
      <c r="I282">
        <v>6896.52</v>
      </c>
      <c r="J282">
        <v>1515.09</v>
      </c>
      <c r="K282" t="str">
        <f>Table1[[#This Row],[Day]]&amp;"/"&amp;Table1[[#This Row],[Month]]&amp;"/"&amp;Table1[[#This Row],[Year]]</f>
        <v>26/2/2022</v>
      </c>
      <c r="L282" t="str">
        <f>TEXT(Table1[[#This Row],[Order Date]],"MMM")</f>
        <v>Feb</v>
      </c>
      <c r="M282">
        <f>YEAR(Table1[[#This Row],[Year]])</f>
        <v>1905</v>
      </c>
    </row>
    <row r="283" spans="1:13" x14ac:dyDescent="0.25">
      <c r="A283" t="s">
        <v>289</v>
      </c>
      <c r="B283">
        <v>6</v>
      </c>
      <c r="C283">
        <v>10</v>
      </c>
      <c r="D283">
        <v>2022</v>
      </c>
      <c r="E283" t="s">
        <v>632</v>
      </c>
      <c r="F283" t="s">
        <v>638</v>
      </c>
      <c r="G283" t="s">
        <v>643</v>
      </c>
      <c r="H283">
        <v>7</v>
      </c>
      <c r="I283">
        <v>8331.5400000000009</v>
      </c>
      <c r="J283">
        <v>1304.5999999999999</v>
      </c>
      <c r="K283" t="str">
        <f>Table1[[#This Row],[Day]]&amp;"/"&amp;Table1[[#This Row],[Month]]&amp;"/"&amp;Table1[[#This Row],[Year]]</f>
        <v>10/6/2022</v>
      </c>
      <c r="L283" t="str">
        <f>TEXT(Table1[[#This Row],[Order Date]],"MMM")</f>
        <v>Jun</v>
      </c>
      <c r="M283">
        <f>YEAR(Table1[[#This Row],[Year]])</f>
        <v>1905</v>
      </c>
    </row>
    <row r="284" spans="1:13" x14ac:dyDescent="0.25">
      <c r="A284" t="s">
        <v>290</v>
      </c>
      <c r="B284">
        <v>10</v>
      </c>
      <c r="C284">
        <v>10</v>
      </c>
      <c r="D284">
        <v>2023</v>
      </c>
      <c r="E284" t="s">
        <v>635</v>
      </c>
      <c r="F284" t="s">
        <v>637</v>
      </c>
      <c r="G284" t="s">
        <v>649</v>
      </c>
      <c r="H284">
        <v>4</v>
      </c>
      <c r="I284">
        <v>1635.04</v>
      </c>
      <c r="J284">
        <v>275.98</v>
      </c>
      <c r="K284" t="str">
        <f>Table1[[#This Row],[Day]]&amp;"/"&amp;Table1[[#This Row],[Month]]&amp;"/"&amp;Table1[[#This Row],[Year]]</f>
        <v>10/10/2023</v>
      </c>
      <c r="L284" t="str">
        <f>TEXT(Table1[[#This Row],[Order Date]],"MMM")</f>
        <v>Oct</v>
      </c>
      <c r="M284">
        <f>YEAR(Table1[[#This Row],[Year]])</f>
        <v>1905</v>
      </c>
    </row>
    <row r="285" spans="1:13" x14ac:dyDescent="0.25">
      <c r="A285" t="s">
        <v>291</v>
      </c>
      <c r="B285">
        <v>9</v>
      </c>
      <c r="C285">
        <v>2</v>
      </c>
      <c r="D285">
        <v>2022</v>
      </c>
      <c r="E285" t="s">
        <v>632</v>
      </c>
      <c r="F285" t="s">
        <v>637</v>
      </c>
      <c r="G285" t="s">
        <v>640</v>
      </c>
      <c r="H285">
        <v>8</v>
      </c>
      <c r="I285">
        <v>5268.24</v>
      </c>
      <c r="J285">
        <v>595.41</v>
      </c>
      <c r="K285" t="str">
        <f>Table1[[#This Row],[Day]]&amp;"/"&amp;Table1[[#This Row],[Month]]&amp;"/"&amp;Table1[[#This Row],[Year]]</f>
        <v>2/9/2022</v>
      </c>
      <c r="L285" t="str">
        <f>TEXT(Table1[[#This Row],[Order Date]],"MMM")</f>
        <v>Sep</v>
      </c>
      <c r="M285">
        <f>YEAR(Table1[[#This Row],[Year]])</f>
        <v>1905</v>
      </c>
    </row>
    <row r="286" spans="1:13" x14ac:dyDescent="0.25">
      <c r="A286" t="s">
        <v>292</v>
      </c>
      <c r="B286">
        <v>12</v>
      </c>
      <c r="C286">
        <v>29</v>
      </c>
      <c r="D286">
        <v>2022</v>
      </c>
      <c r="E286" t="s">
        <v>634</v>
      </c>
      <c r="F286" t="s">
        <v>636</v>
      </c>
      <c r="G286" t="s">
        <v>639</v>
      </c>
      <c r="H286">
        <v>8</v>
      </c>
      <c r="I286">
        <v>7121.12</v>
      </c>
      <c r="J286">
        <v>2055.46</v>
      </c>
      <c r="K286" t="str">
        <f>Table1[[#This Row],[Day]]&amp;"/"&amp;Table1[[#This Row],[Month]]&amp;"/"&amp;Table1[[#This Row],[Year]]</f>
        <v>29/12/2022</v>
      </c>
      <c r="L286" t="str">
        <f>TEXT(Table1[[#This Row],[Order Date]],"MMM")</f>
        <v>Dec</v>
      </c>
      <c r="M286">
        <f>YEAR(Table1[[#This Row],[Year]])</f>
        <v>1905</v>
      </c>
    </row>
    <row r="287" spans="1:13" x14ac:dyDescent="0.25">
      <c r="A287" t="s">
        <v>293</v>
      </c>
      <c r="B287">
        <v>9</v>
      </c>
      <c r="C287">
        <v>29</v>
      </c>
      <c r="D287">
        <v>2023</v>
      </c>
      <c r="E287" t="s">
        <v>632</v>
      </c>
      <c r="F287" t="s">
        <v>636</v>
      </c>
      <c r="G287" t="s">
        <v>647</v>
      </c>
      <c r="H287">
        <v>4</v>
      </c>
      <c r="I287">
        <v>497.32</v>
      </c>
      <c r="J287">
        <v>142.12</v>
      </c>
      <c r="K287" t="str">
        <f>Table1[[#This Row],[Day]]&amp;"/"&amp;Table1[[#This Row],[Month]]&amp;"/"&amp;Table1[[#This Row],[Year]]</f>
        <v>29/9/2023</v>
      </c>
      <c r="L287" t="str">
        <f>TEXT(Table1[[#This Row],[Order Date]],"MMM")</f>
        <v>Sep</v>
      </c>
      <c r="M287">
        <f>YEAR(Table1[[#This Row],[Year]])</f>
        <v>1905</v>
      </c>
    </row>
    <row r="288" spans="1:13" x14ac:dyDescent="0.25">
      <c r="A288" t="s">
        <v>294</v>
      </c>
      <c r="B288">
        <v>3</v>
      </c>
      <c r="C288">
        <v>5</v>
      </c>
      <c r="D288">
        <v>2023</v>
      </c>
      <c r="E288" t="s">
        <v>635</v>
      </c>
      <c r="F288" t="s">
        <v>636</v>
      </c>
      <c r="G288" t="s">
        <v>639</v>
      </c>
      <c r="H288">
        <v>3</v>
      </c>
      <c r="I288">
        <v>1536.18</v>
      </c>
      <c r="J288">
        <v>360.98</v>
      </c>
      <c r="K288" t="str">
        <f>Table1[[#This Row],[Day]]&amp;"/"&amp;Table1[[#This Row],[Month]]&amp;"/"&amp;Table1[[#This Row],[Year]]</f>
        <v>5/3/2023</v>
      </c>
      <c r="L288" t="str">
        <f>TEXT(Table1[[#This Row],[Order Date]],"MMM")</f>
        <v>Mar</v>
      </c>
      <c r="M288">
        <f>YEAR(Table1[[#This Row],[Year]])</f>
        <v>1905</v>
      </c>
    </row>
    <row r="289" spans="1:13" x14ac:dyDescent="0.25">
      <c r="A289" t="s">
        <v>295</v>
      </c>
      <c r="B289">
        <v>4</v>
      </c>
      <c r="C289">
        <v>8</v>
      </c>
      <c r="D289">
        <v>2023</v>
      </c>
      <c r="E289" t="s">
        <v>635</v>
      </c>
      <c r="F289" t="s">
        <v>638</v>
      </c>
      <c r="G289" t="s">
        <v>644</v>
      </c>
      <c r="H289">
        <v>1</v>
      </c>
      <c r="I289">
        <v>1270.6500000000001</v>
      </c>
      <c r="J289">
        <v>178.63</v>
      </c>
      <c r="K289" t="str">
        <f>Table1[[#This Row],[Day]]&amp;"/"&amp;Table1[[#This Row],[Month]]&amp;"/"&amp;Table1[[#This Row],[Year]]</f>
        <v>8/4/2023</v>
      </c>
      <c r="L289" t="str">
        <f>TEXT(Table1[[#This Row],[Order Date]],"MMM")</f>
        <v>Apr</v>
      </c>
      <c r="M289">
        <f>YEAR(Table1[[#This Row],[Year]])</f>
        <v>1905</v>
      </c>
    </row>
    <row r="290" spans="1:13" x14ac:dyDescent="0.25">
      <c r="A290" t="s">
        <v>296</v>
      </c>
      <c r="B290">
        <v>11</v>
      </c>
      <c r="C290">
        <v>17</v>
      </c>
      <c r="D290">
        <v>2022</v>
      </c>
      <c r="E290" t="s">
        <v>634</v>
      </c>
      <c r="F290" t="s">
        <v>636</v>
      </c>
      <c r="G290" t="s">
        <v>647</v>
      </c>
      <c r="H290">
        <v>3</v>
      </c>
      <c r="I290">
        <v>808.5</v>
      </c>
      <c r="J290">
        <v>180.8</v>
      </c>
      <c r="K290" t="str">
        <f>Table1[[#This Row],[Day]]&amp;"/"&amp;Table1[[#This Row],[Month]]&amp;"/"&amp;Table1[[#This Row],[Year]]</f>
        <v>17/11/2022</v>
      </c>
      <c r="L290" t="str">
        <f>TEXT(Table1[[#This Row],[Order Date]],"MMM")</f>
        <v>Nov</v>
      </c>
      <c r="M290">
        <f>YEAR(Table1[[#This Row],[Year]])</f>
        <v>1905</v>
      </c>
    </row>
    <row r="291" spans="1:13" x14ac:dyDescent="0.25">
      <c r="A291" t="s">
        <v>297</v>
      </c>
      <c r="B291">
        <v>6</v>
      </c>
      <c r="C291">
        <v>5</v>
      </c>
      <c r="D291">
        <v>2023</v>
      </c>
      <c r="E291" t="s">
        <v>633</v>
      </c>
      <c r="F291" t="s">
        <v>638</v>
      </c>
      <c r="G291" t="s">
        <v>646</v>
      </c>
      <c r="H291">
        <v>7</v>
      </c>
      <c r="I291">
        <v>4114.18</v>
      </c>
      <c r="J291">
        <v>324.39999999999998</v>
      </c>
      <c r="K291" t="str">
        <f>Table1[[#This Row],[Day]]&amp;"/"&amp;Table1[[#This Row],[Month]]&amp;"/"&amp;Table1[[#This Row],[Year]]</f>
        <v>5/6/2023</v>
      </c>
      <c r="L291" t="str">
        <f>TEXT(Table1[[#This Row],[Order Date]],"MMM")</f>
        <v>Jun</v>
      </c>
      <c r="M291">
        <f>YEAR(Table1[[#This Row],[Year]])</f>
        <v>1905</v>
      </c>
    </row>
    <row r="292" spans="1:13" x14ac:dyDescent="0.25">
      <c r="A292" t="s">
        <v>298</v>
      </c>
      <c r="B292">
        <v>7</v>
      </c>
      <c r="C292">
        <v>23</v>
      </c>
      <c r="D292">
        <v>2022</v>
      </c>
      <c r="E292" t="s">
        <v>634</v>
      </c>
      <c r="F292" t="s">
        <v>637</v>
      </c>
      <c r="G292" t="s">
        <v>640</v>
      </c>
      <c r="H292">
        <v>8</v>
      </c>
      <c r="I292">
        <v>4975.04</v>
      </c>
      <c r="J292">
        <v>630.61</v>
      </c>
      <c r="K292" t="str">
        <f>Table1[[#This Row],[Day]]&amp;"/"&amp;Table1[[#This Row],[Month]]&amp;"/"&amp;Table1[[#This Row],[Year]]</f>
        <v>23/7/2022</v>
      </c>
      <c r="L292" t="str">
        <f>TEXT(Table1[[#This Row],[Order Date]],"MMM")</f>
        <v>Jul</v>
      </c>
      <c r="M292">
        <f>YEAR(Table1[[#This Row],[Year]])</f>
        <v>1905</v>
      </c>
    </row>
    <row r="293" spans="1:13" x14ac:dyDescent="0.25">
      <c r="A293" t="s">
        <v>299</v>
      </c>
      <c r="B293">
        <v>6</v>
      </c>
      <c r="C293">
        <v>3</v>
      </c>
      <c r="D293">
        <v>2023</v>
      </c>
      <c r="E293" t="s">
        <v>635</v>
      </c>
      <c r="F293" t="s">
        <v>637</v>
      </c>
      <c r="G293" t="s">
        <v>645</v>
      </c>
      <c r="H293">
        <v>9</v>
      </c>
      <c r="I293">
        <v>5833.26</v>
      </c>
      <c r="J293">
        <v>1744.92</v>
      </c>
      <c r="K293" t="str">
        <f>Table1[[#This Row],[Day]]&amp;"/"&amp;Table1[[#This Row],[Month]]&amp;"/"&amp;Table1[[#This Row],[Year]]</f>
        <v>3/6/2023</v>
      </c>
      <c r="L293" t="str">
        <f>TEXT(Table1[[#This Row],[Order Date]],"MMM")</f>
        <v>Jun</v>
      </c>
      <c r="M293">
        <f>YEAR(Table1[[#This Row],[Year]])</f>
        <v>1905</v>
      </c>
    </row>
    <row r="294" spans="1:13" x14ac:dyDescent="0.25">
      <c r="A294" t="s">
        <v>300</v>
      </c>
      <c r="B294">
        <v>9</v>
      </c>
      <c r="C294">
        <v>16</v>
      </c>
      <c r="D294">
        <v>2022</v>
      </c>
      <c r="E294" t="s">
        <v>635</v>
      </c>
      <c r="F294" t="s">
        <v>636</v>
      </c>
      <c r="G294" t="s">
        <v>647</v>
      </c>
      <c r="H294">
        <v>1</v>
      </c>
      <c r="I294">
        <v>1487.62</v>
      </c>
      <c r="J294">
        <v>263.64</v>
      </c>
      <c r="K294" t="str">
        <f>Table1[[#This Row],[Day]]&amp;"/"&amp;Table1[[#This Row],[Month]]&amp;"/"&amp;Table1[[#This Row],[Year]]</f>
        <v>16/9/2022</v>
      </c>
      <c r="L294" t="str">
        <f>TEXT(Table1[[#This Row],[Order Date]],"MMM")</f>
        <v>Sep</v>
      </c>
      <c r="M294">
        <f>YEAR(Table1[[#This Row],[Year]])</f>
        <v>1905</v>
      </c>
    </row>
    <row r="295" spans="1:13" x14ac:dyDescent="0.25">
      <c r="A295" t="s">
        <v>301</v>
      </c>
      <c r="B295">
        <v>3</v>
      </c>
      <c r="C295">
        <v>17</v>
      </c>
      <c r="D295">
        <v>2022</v>
      </c>
      <c r="E295" t="s">
        <v>635</v>
      </c>
      <c r="F295" t="s">
        <v>637</v>
      </c>
      <c r="G295" t="s">
        <v>650</v>
      </c>
      <c r="H295">
        <v>4</v>
      </c>
      <c r="I295">
        <v>2223.36</v>
      </c>
      <c r="J295">
        <v>630.30999999999995</v>
      </c>
      <c r="K295" t="str">
        <f>Table1[[#This Row],[Day]]&amp;"/"&amp;Table1[[#This Row],[Month]]&amp;"/"&amp;Table1[[#This Row],[Year]]</f>
        <v>17/3/2022</v>
      </c>
      <c r="L295" t="str">
        <f>TEXT(Table1[[#This Row],[Order Date]],"MMM")</f>
        <v>Mar</v>
      </c>
      <c r="M295">
        <f>YEAR(Table1[[#This Row],[Year]])</f>
        <v>1905</v>
      </c>
    </row>
    <row r="296" spans="1:13" x14ac:dyDescent="0.25">
      <c r="A296" t="s">
        <v>302</v>
      </c>
      <c r="B296">
        <v>1</v>
      </c>
      <c r="C296">
        <v>9</v>
      </c>
      <c r="D296">
        <v>2023</v>
      </c>
      <c r="E296" t="s">
        <v>634</v>
      </c>
      <c r="F296" t="s">
        <v>637</v>
      </c>
      <c r="G296" t="s">
        <v>640</v>
      </c>
      <c r="H296">
        <v>8</v>
      </c>
      <c r="I296">
        <v>632.96</v>
      </c>
      <c r="J296">
        <v>67.48</v>
      </c>
      <c r="K296" t="str">
        <f>Table1[[#This Row],[Day]]&amp;"/"&amp;Table1[[#This Row],[Month]]&amp;"/"&amp;Table1[[#This Row],[Year]]</f>
        <v>9/1/2023</v>
      </c>
      <c r="L296" t="str">
        <f>TEXT(Table1[[#This Row],[Order Date]],"MMM")</f>
        <v>Jan</v>
      </c>
      <c r="M296">
        <f>YEAR(Table1[[#This Row],[Year]])</f>
        <v>1905</v>
      </c>
    </row>
    <row r="297" spans="1:13" x14ac:dyDescent="0.25">
      <c r="A297" t="s">
        <v>303</v>
      </c>
      <c r="B297">
        <v>1</v>
      </c>
      <c r="C297">
        <v>1</v>
      </c>
      <c r="D297">
        <v>2022</v>
      </c>
      <c r="E297" t="s">
        <v>634</v>
      </c>
      <c r="F297" t="s">
        <v>638</v>
      </c>
      <c r="G297" t="s">
        <v>646</v>
      </c>
      <c r="H297">
        <v>7</v>
      </c>
      <c r="I297">
        <v>2894.5</v>
      </c>
      <c r="J297">
        <v>462.67</v>
      </c>
      <c r="K297" t="str">
        <f>Table1[[#This Row],[Day]]&amp;"/"&amp;Table1[[#This Row],[Month]]&amp;"/"&amp;Table1[[#This Row],[Year]]</f>
        <v>1/1/2022</v>
      </c>
      <c r="L297" t="str">
        <f>TEXT(Table1[[#This Row],[Order Date]],"MMM")</f>
        <v>Jan</v>
      </c>
      <c r="M297">
        <f>YEAR(Table1[[#This Row],[Year]])</f>
        <v>1905</v>
      </c>
    </row>
    <row r="298" spans="1:13" x14ac:dyDescent="0.25">
      <c r="A298" t="s">
        <v>304</v>
      </c>
      <c r="B298">
        <v>8</v>
      </c>
      <c r="C298">
        <v>31</v>
      </c>
      <c r="D298">
        <v>2022</v>
      </c>
      <c r="E298" t="s">
        <v>632</v>
      </c>
      <c r="F298" t="s">
        <v>637</v>
      </c>
      <c r="G298" t="s">
        <v>640</v>
      </c>
      <c r="H298">
        <v>9</v>
      </c>
      <c r="I298">
        <v>3711.33</v>
      </c>
      <c r="J298">
        <v>565.75</v>
      </c>
      <c r="K298" t="str">
        <f>Table1[[#This Row],[Day]]&amp;"/"&amp;Table1[[#This Row],[Month]]&amp;"/"&amp;Table1[[#This Row],[Year]]</f>
        <v>31/8/2022</v>
      </c>
      <c r="L298" t="str">
        <f>TEXT(Table1[[#This Row],[Order Date]],"MMM")</f>
        <v>Aug</v>
      </c>
      <c r="M298">
        <f>YEAR(Table1[[#This Row],[Year]])</f>
        <v>1905</v>
      </c>
    </row>
    <row r="299" spans="1:13" x14ac:dyDescent="0.25">
      <c r="A299" t="s">
        <v>305</v>
      </c>
      <c r="B299">
        <v>6</v>
      </c>
      <c r="C299">
        <v>25</v>
      </c>
      <c r="D299">
        <v>2022</v>
      </c>
      <c r="E299" t="s">
        <v>634</v>
      </c>
      <c r="F299" t="s">
        <v>636</v>
      </c>
      <c r="G299" t="s">
        <v>648</v>
      </c>
      <c r="H299">
        <v>2</v>
      </c>
      <c r="I299">
        <v>127.62</v>
      </c>
      <c r="J299">
        <v>21.57</v>
      </c>
      <c r="K299" t="str">
        <f>Table1[[#This Row],[Day]]&amp;"/"&amp;Table1[[#This Row],[Month]]&amp;"/"&amp;Table1[[#This Row],[Year]]</f>
        <v>25/6/2022</v>
      </c>
      <c r="L299" t="str">
        <f>TEXT(Table1[[#This Row],[Order Date]],"MMM")</f>
        <v>Jun</v>
      </c>
      <c r="M299">
        <f>YEAR(Table1[[#This Row],[Year]])</f>
        <v>1905</v>
      </c>
    </row>
    <row r="300" spans="1:13" x14ac:dyDescent="0.25">
      <c r="A300" t="s">
        <v>306</v>
      </c>
      <c r="B300">
        <v>8</v>
      </c>
      <c r="C300">
        <v>20</v>
      </c>
      <c r="D300">
        <v>2023</v>
      </c>
      <c r="E300" t="s">
        <v>635</v>
      </c>
      <c r="F300" t="s">
        <v>638</v>
      </c>
      <c r="G300" t="s">
        <v>643</v>
      </c>
      <c r="H300">
        <v>6</v>
      </c>
      <c r="I300">
        <v>2955.72</v>
      </c>
      <c r="J300">
        <v>354.52</v>
      </c>
      <c r="K300" t="str">
        <f>Table1[[#This Row],[Day]]&amp;"/"&amp;Table1[[#This Row],[Month]]&amp;"/"&amp;Table1[[#This Row],[Year]]</f>
        <v>20/8/2023</v>
      </c>
      <c r="L300" t="str">
        <f>TEXT(Table1[[#This Row],[Order Date]],"MMM")</f>
        <v>Aug</v>
      </c>
      <c r="M300">
        <f>YEAR(Table1[[#This Row],[Year]])</f>
        <v>1905</v>
      </c>
    </row>
    <row r="301" spans="1:13" x14ac:dyDescent="0.25">
      <c r="A301" t="s">
        <v>307</v>
      </c>
      <c r="B301">
        <v>5</v>
      </c>
      <c r="C301">
        <v>2</v>
      </c>
      <c r="D301">
        <v>2023</v>
      </c>
      <c r="E301" t="s">
        <v>633</v>
      </c>
      <c r="F301" t="s">
        <v>638</v>
      </c>
      <c r="G301" t="s">
        <v>643</v>
      </c>
      <c r="H301">
        <v>9</v>
      </c>
      <c r="I301">
        <v>2420.1</v>
      </c>
      <c r="J301">
        <v>175.85</v>
      </c>
      <c r="K301" t="str">
        <f>Table1[[#This Row],[Day]]&amp;"/"&amp;Table1[[#This Row],[Month]]&amp;"/"&amp;Table1[[#This Row],[Year]]</f>
        <v>2/5/2023</v>
      </c>
      <c r="L301" t="str">
        <f>TEXT(Table1[[#This Row],[Order Date]],"MMM")</f>
        <v>May</v>
      </c>
      <c r="M301">
        <f>YEAR(Table1[[#This Row],[Year]])</f>
        <v>1905</v>
      </c>
    </row>
    <row r="302" spans="1:13" x14ac:dyDescent="0.25">
      <c r="A302" t="s">
        <v>308</v>
      </c>
      <c r="B302">
        <v>5</v>
      </c>
      <c r="C302">
        <v>7</v>
      </c>
      <c r="D302">
        <v>2023</v>
      </c>
      <c r="E302" t="s">
        <v>632</v>
      </c>
      <c r="F302" t="s">
        <v>637</v>
      </c>
      <c r="G302" t="s">
        <v>649</v>
      </c>
      <c r="H302">
        <v>5</v>
      </c>
      <c r="I302">
        <v>1539.35</v>
      </c>
      <c r="J302">
        <v>293.16000000000003</v>
      </c>
      <c r="K302" t="str">
        <f>Table1[[#This Row],[Day]]&amp;"/"&amp;Table1[[#This Row],[Month]]&amp;"/"&amp;Table1[[#This Row],[Year]]</f>
        <v>7/5/2023</v>
      </c>
      <c r="L302" t="str">
        <f>TEXT(Table1[[#This Row],[Order Date]],"MMM")</f>
        <v>May</v>
      </c>
      <c r="M302">
        <f>YEAR(Table1[[#This Row],[Year]])</f>
        <v>1905</v>
      </c>
    </row>
    <row r="303" spans="1:13" x14ac:dyDescent="0.25">
      <c r="A303" t="s">
        <v>309</v>
      </c>
      <c r="B303">
        <v>12</v>
      </c>
      <c r="C303">
        <v>12</v>
      </c>
      <c r="D303">
        <v>2022</v>
      </c>
      <c r="E303" t="s">
        <v>633</v>
      </c>
      <c r="F303" t="s">
        <v>636</v>
      </c>
      <c r="G303" t="s">
        <v>648</v>
      </c>
      <c r="H303">
        <v>4</v>
      </c>
      <c r="I303">
        <v>3454.24</v>
      </c>
      <c r="J303">
        <v>743.91</v>
      </c>
      <c r="K303" t="str">
        <f>Table1[[#This Row],[Day]]&amp;"/"&amp;Table1[[#This Row],[Month]]&amp;"/"&amp;Table1[[#This Row],[Year]]</f>
        <v>12/12/2022</v>
      </c>
      <c r="L303" t="str">
        <f>TEXT(Table1[[#This Row],[Order Date]],"MMM")</f>
        <v>Dec</v>
      </c>
      <c r="M303">
        <f>YEAR(Table1[[#This Row],[Year]])</f>
        <v>1905</v>
      </c>
    </row>
    <row r="304" spans="1:13" x14ac:dyDescent="0.25">
      <c r="A304" t="s">
        <v>310</v>
      </c>
      <c r="B304">
        <v>7</v>
      </c>
      <c r="C304">
        <v>8</v>
      </c>
      <c r="D304">
        <v>2023</v>
      </c>
      <c r="E304" t="s">
        <v>633</v>
      </c>
      <c r="F304" t="s">
        <v>638</v>
      </c>
      <c r="G304" t="s">
        <v>643</v>
      </c>
      <c r="H304">
        <v>4</v>
      </c>
      <c r="I304">
        <v>1163.68</v>
      </c>
      <c r="J304">
        <v>180.7</v>
      </c>
      <c r="K304" t="str">
        <f>Table1[[#This Row],[Day]]&amp;"/"&amp;Table1[[#This Row],[Month]]&amp;"/"&amp;Table1[[#This Row],[Year]]</f>
        <v>8/7/2023</v>
      </c>
      <c r="L304" t="str">
        <f>TEXT(Table1[[#This Row],[Order Date]],"MMM")</f>
        <v>Jul</v>
      </c>
      <c r="M304">
        <f>YEAR(Table1[[#This Row],[Year]])</f>
        <v>1905</v>
      </c>
    </row>
    <row r="305" spans="1:13" x14ac:dyDescent="0.25">
      <c r="A305" t="s">
        <v>311</v>
      </c>
      <c r="B305">
        <v>4</v>
      </c>
      <c r="C305">
        <v>30</v>
      </c>
      <c r="D305">
        <v>2022</v>
      </c>
      <c r="E305" t="s">
        <v>635</v>
      </c>
      <c r="F305" t="s">
        <v>637</v>
      </c>
      <c r="G305" t="s">
        <v>650</v>
      </c>
      <c r="H305">
        <v>9</v>
      </c>
      <c r="I305">
        <v>10696.86</v>
      </c>
      <c r="J305">
        <v>2944.12</v>
      </c>
      <c r="K305" t="str">
        <f>Table1[[#This Row],[Day]]&amp;"/"&amp;Table1[[#This Row],[Month]]&amp;"/"&amp;Table1[[#This Row],[Year]]</f>
        <v>30/4/2022</v>
      </c>
      <c r="L305" t="str">
        <f>TEXT(Table1[[#This Row],[Order Date]],"MMM")</f>
        <v>Apr</v>
      </c>
      <c r="M305">
        <f>YEAR(Table1[[#This Row],[Year]])</f>
        <v>1905</v>
      </c>
    </row>
    <row r="306" spans="1:13" x14ac:dyDescent="0.25">
      <c r="A306" t="s">
        <v>312</v>
      </c>
      <c r="B306">
        <v>5</v>
      </c>
      <c r="C306">
        <v>25</v>
      </c>
      <c r="D306">
        <v>2022</v>
      </c>
      <c r="E306" t="s">
        <v>635</v>
      </c>
      <c r="F306" t="s">
        <v>636</v>
      </c>
      <c r="G306" t="s">
        <v>639</v>
      </c>
      <c r="H306">
        <v>5</v>
      </c>
      <c r="I306">
        <v>2952.35</v>
      </c>
      <c r="J306">
        <v>883.83</v>
      </c>
      <c r="K306" t="str">
        <f>Table1[[#This Row],[Day]]&amp;"/"&amp;Table1[[#This Row],[Month]]&amp;"/"&amp;Table1[[#This Row],[Year]]</f>
        <v>25/5/2022</v>
      </c>
      <c r="L306" t="str">
        <f>TEXT(Table1[[#This Row],[Order Date]],"MMM")</f>
        <v>May</v>
      </c>
      <c r="M306">
        <f>YEAR(Table1[[#This Row],[Year]])</f>
        <v>1905</v>
      </c>
    </row>
    <row r="307" spans="1:13" x14ac:dyDescent="0.25">
      <c r="A307" t="s">
        <v>313</v>
      </c>
      <c r="B307">
        <v>11</v>
      </c>
      <c r="C307">
        <v>13</v>
      </c>
      <c r="D307">
        <v>2023</v>
      </c>
      <c r="E307" t="s">
        <v>633</v>
      </c>
      <c r="F307" t="s">
        <v>636</v>
      </c>
      <c r="G307" t="s">
        <v>647</v>
      </c>
      <c r="H307">
        <v>6</v>
      </c>
      <c r="I307">
        <v>5184.4799999999996</v>
      </c>
      <c r="J307">
        <v>299.75</v>
      </c>
      <c r="K307" t="str">
        <f>Table1[[#This Row],[Day]]&amp;"/"&amp;Table1[[#This Row],[Month]]&amp;"/"&amp;Table1[[#This Row],[Year]]</f>
        <v>13/11/2023</v>
      </c>
      <c r="L307" t="str">
        <f>TEXT(Table1[[#This Row],[Order Date]],"MMM")</f>
        <v>Nov</v>
      </c>
      <c r="M307">
        <f>YEAR(Table1[[#This Row],[Year]])</f>
        <v>1905</v>
      </c>
    </row>
    <row r="308" spans="1:13" x14ac:dyDescent="0.25">
      <c r="A308" t="s">
        <v>314</v>
      </c>
      <c r="B308">
        <v>11</v>
      </c>
      <c r="C308">
        <v>2</v>
      </c>
      <c r="D308">
        <v>2022</v>
      </c>
      <c r="E308" t="s">
        <v>632</v>
      </c>
      <c r="F308" t="s">
        <v>637</v>
      </c>
      <c r="G308" t="s">
        <v>649</v>
      </c>
      <c r="H308">
        <v>6</v>
      </c>
      <c r="I308">
        <v>6947.16</v>
      </c>
      <c r="J308">
        <v>447.37</v>
      </c>
      <c r="K308" t="str">
        <f>Table1[[#This Row],[Day]]&amp;"/"&amp;Table1[[#This Row],[Month]]&amp;"/"&amp;Table1[[#This Row],[Year]]</f>
        <v>2/11/2022</v>
      </c>
      <c r="L308" t="str">
        <f>TEXT(Table1[[#This Row],[Order Date]],"MMM")</f>
        <v>Nov</v>
      </c>
      <c r="M308">
        <f>YEAR(Table1[[#This Row],[Year]])</f>
        <v>1905</v>
      </c>
    </row>
    <row r="309" spans="1:13" x14ac:dyDescent="0.25">
      <c r="A309" t="s">
        <v>315</v>
      </c>
      <c r="B309">
        <v>7</v>
      </c>
      <c r="C309">
        <v>22</v>
      </c>
      <c r="D309">
        <v>2022</v>
      </c>
      <c r="E309" t="s">
        <v>633</v>
      </c>
      <c r="F309" t="s">
        <v>637</v>
      </c>
      <c r="G309" t="s">
        <v>650</v>
      </c>
      <c r="H309">
        <v>6</v>
      </c>
      <c r="I309">
        <v>1507.8</v>
      </c>
      <c r="J309">
        <v>178.18</v>
      </c>
      <c r="K309" t="str">
        <f>Table1[[#This Row],[Day]]&amp;"/"&amp;Table1[[#This Row],[Month]]&amp;"/"&amp;Table1[[#This Row],[Year]]</f>
        <v>22/7/2022</v>
      </c>
      <c r="L309" t="str">
        <f>TEXT(Table1[[#This Row],[Order Date]],"MMM")</f>
        <v>Jul</v>
      </c>
      <c r="M309">
        <f>YEAR(Table1[[#This Row],[Year]])</f>
        <v>1905</v>
      </c>
    </row>
    <row r="310" spans="1:13" x14ac:dyDescent="0.25">
      <c r="A310" t="s">
        <v>316</v>
      </c>
      <c r="B310">
        <v>2</v>
      </c>
      <c r="C310">
        <v>25</v>
      </c>
      <c r="D310">
        <v>2022</v>
      </c>
      <c r="E310" t="s">
        <v>633</v>
      </c>
      <c r="F310" t="s">
        <v>638</v>
      </c>
      <c r="G310" t="s">
        <v>646</v>
      </c>
      <c r="H310">
        <v>5</v>
      </c>
      <c r="I310">
        <v>6357.6</v>
      </c>
      <c r="J310">
        <v>1759.44</v>
      </c>
      <c r="K310" t="str">
        <f>Table1[[#This Row],[Day]]&amp;"/"&amp;Table1[[#This Row],[Month]]&amp;"/"&amp;Table1[[#This Row],[Year]]</f>
        <v>25/2/2022</v>
      </c>
      <c r="L310" t="str">
        <f>TEXT(Table1[[#This Row],[Order Date]],"MMM")</f>
        <v>Feb</v>
      </c>
      <c r="M310">
        <f>YEAR(Table1[[#This Row],[Year]])</f>
        <v>1905</v>
      </c>
    </row>
    <row r="311" spans="1:13" x14ac:dyDescent="0.25">
      <c r="A311" t="s">
        <v>317</v>
      </c>
      <c r="B311">
        <v>8</v>
      </c>
      <c r="C311">
        <v>15</v>
      </c>
      <c r="D311">
        <v>2023</v>
      </c>
      <c r="E311" t="s">
        <v>635</v>
      </c>
      <c r="F311" t="s">
        <v>638</v>
      </c>
      <c r="G311" t="s">
        <v>646</v>
      </c>
      <c r="H311">
        <v>7</v>
      </c>
      <c r="I311">
        <v>3125.01</v>
      </c>
      <c r="J311">
        <v>652.62</v>
      </c>
      <c r="K311" t="str">
        <f>Table1[[#This Row],[Day]]&amp;"/"&amp;Table1[[#This Row],[Month]]&amp;"/"&amp;Table1[[#This Row],[Year]]</f>
        <v>15/8/2023</v>
      </c>
      <c r="L311" t="str">
        <f>TEXT(Table1[[#This Row],[Order Date]],"MMM")</f>
        <v>Aug</v>
      </c>
      <c r="M311">
        <f>YEAR(Table1[[#This Row],[Year]])</f>
        <v>1905</v>
      </c>
    </row>
    <row r="312" spans="1:13" x14ac:dyDescent="0.25">
      <c r="A312" t="s">
        <v>318</v>
      </c>
      <c r="B312">
        <v>2</v>
      </c>
      <c r="C312">
        <v>5</v>
      </c>
      <c r="D312">
        <v>2022</v>
      </c>
      <c r="E312" t="s">
        <v>634</v>
      </c>
      <c r="F312" t="s">
        <v>636</v>
      </c>
      <c r="G312" t="s">
        <v>639</v>
      </c>
      <c r="H312">
        <v>6</v>
      </c>
      <c r="I312">
        <v>1493.52</v>
      </c>
      <c r="J312">
        <v>428.85</v>
      </c>
      <c r="K312" t="str">
        <f>Table1[[#This Row],[Day]]&amp;"/"&amp;Table1[[#This Row],[Month]]&amp;"/"&amp;Table1[[#This Row],[Year]]</f>
        <v>5/2/2022</v>
      </c>
      <c r="L312" t="str">
        <f>TEXT(Table1[[#This Row],[Order Date]],"MMM")</f>
        <v>Feb</v>
      </c>
      <c r="M312">
        <f>YEAR(Table1[[#This Row],[Year]])</f>
        <v>1905</v>
      </c>
    </row>
    <row r="313" spans="1:13" x14ac:dyDescent="0.25">
      <c r="A313" t="s">
        <v>319</v>
      </c>
      <c r="B313">
        <v>9</v>
      </c>
      <c r="C313">
        <v>6</v>
      </c>
      <c r="D313">
        <v>2022</v>
      </c>
      <c r="E313" t="s">
        <v>633</v>
      </c>
      <c r="F313" t="s">
        <v>637</v>
      </c>
      <c r="G313" t="s">
        <v>650</v>
      </c>
      <c r="H313">
        <v>9</v>
      </c>
      <c r="I313">
        <v>11597.94</v>
      </c>
      <c r="J313">
        <v>841.92</v>
      </c>
      <c r="K313" t="str">
        <f>Table1[[#This Row],[Day]]&amp;"/"&amp;Table1[[#This Row],[Month]]&amp;"/"&amp;Table1[[#This Row],[Year]]</f>
        <v>6/9/2022</v>
      </c>
      <c r="L313" t="str">
        <f>TEXT(Table1[[#This Row],[Order Date]],"MMM")</f>
        <v>Sep</v>
      </c>
      <c r="M313">
        <f>YEAR(Table1[[#This Row],[Year]])</f>
        <v>1905</v>
      </c>
    </row>
    <row r="314" spans="1:13" x14ac:dyDescent="0.25">
      <c r="A314" t="s">
        <v>320</v>
      </c>
      <c r="B314">
        <v>8</v>
      </c>
      <c r="C314">
        <v>30</v>
      </c>
      <c r="D314">
        <v>2022</v>
      </c>
      <c r="E314" t="s">
        <v>635</v>
      </c>
      <c r="F314" t="s">
        <v>637</v>
      </c>
      <c r="G314" t="s">
        <v>645</v>
      </c>
      <c r="H314">
        <v>3</v>
      </c>
      <c r="I314">
        <v>2222.0100000000002</v>
      </c>
      <c r="J314">
        <v>233.14</v>
      </c>
      <c r="K314" t="str">
        <f>Table1[[#This Row],[Day]]&amp;"/"&amp;Table1[[#This Row],[Month]]&amp;"/"&amp;Table1[[#This Row],[Year]]</f>
        <v>30/8/2022</v>
      </c>
      <c r="L314" t="str">
        <f>TEXT(Table1[[#This Row],[Order Date]],"MMM")</f>
        <v>Aug</v>
      </c>
      <c r="M314">
        <f>YEAR(Table1[[#This Row],[Year]])</f>
        <v>1905</v>
      </c>
    </row>
    <row r="315" spans="1:13" x14ac:dyDescent="0.25">
      <c r="A315" t="s">
        <v>321</v>
      </c>
      <c r="B315">
        <v>8</v>
      </c>
      <c r="C315">
        <v>12</v>
      </c>
      <c r="D315">
        <v>2022</v>
      </c>
      <c r="E315" t="s">
        <v>633</v>
      </c>
      <c r="F315" t="s">
        <v>638</v>
      </c>
      <c r="G315" t="s">
        <v>642</v>
      </c>
      <c r="H315">
        <v>4</v>
      </c>
      <c r="I315">
        <v>1353.56</v>
      </c>
      <c r="J315">
        <v>109.22</v>
      </c>
      <c r="K315" t="str">
        <f>Table1[[#This Row],[Day]]&amp;"/"&amp;Table1[[#This Row],[Month]]&amp;"/"&amp;Table1[[#This Row],[Year]]</f>
        <v>12/8/2022</v>
      </c>
      <c r="L315" t="str">
        <f>TEXT(Table1[[#This Row],[Order Date]],"MMM")</f>
        <v>Aug</v>
      </c>
      <c r="M315">
        <f>YEAR(Table1[[#This Row],[Year]])</f>
        <v>1905</v>
      </c>
    </row>
    <row r="316" spans="1:13" x14ac:dyDescent="0.25">
      <c r="A316" t="s">
        <v>322</v>
      </c>
      <c r="B316">
        <v>8</v>
      </c>
      <c r="C316">
        <v>21</v>
      </c>
      <c r="D316">
        <v>2023</v>
      </c>
      <c r="E316" t="s">
        <v>635</v>
      </c>
      <c r="F316" t="s">
        <v>636</v>
      </c>
      <c r="G316" t="s">
        <v>639</v>
      </c>
      <c r="H316">
        <v>8</v>
      </c>
      <c r="I316">
        <v>1753.68</v>
      </c>
      <c r="J316">
        <v>123.15</v>
      </c>
      <c r="K316" t="str">
        <f>Table1[[#This Row],[Day]]&amp;"/"&amp;Table1[[#This Row],[Month]]&amp;"/"&amp;Table1[[#This Row],[Year]]</f>
        <v>21/8/2023</v>
      </c>
      <c r="L316" t="str">
        <f>TEXT(Table1[[#This Row],[Order Date]],"MMM")</f>
        <v>Aug</v>
      </c>
      <c r="M316">
        <f>YEAR(Table1[[#This Row],[Year]])</f>
        <v>1905</v>
      </c>
    </row>
    <row r="317" spans="1:13" x14ac:dyDescent="0.25">
      <c r="A317" t="s">
        <v>323</v>
      </c>
      <c r="B317">
        <v>8</v>
      </c>
      <c r="C317">
        <v>3</v>
      </c>
      <c r="D317">
        <v>2022</v>
      </c>
      <c r="E317" t="s">
        <v>635</v>
      </c>
      <c r="F317" t="s">
        <v>637</v>
      </c>
      <c r="G317" t="s">
        <v>649</v>
      </c>
      <c r="H317">
        <v>3</v>
      </c>
      <c r="I317">
        <v>1861.68</v>
      </c>
      <c r="J317">
        <v>438.91</v>
      </c>
      <c r="K317" t="str">
        <f>Table1[[#This Row],[Day]]&amp;"/"&amp;Table1[[#This Row],[Month]]&amp;"/"&amp;Table1[[#This Row],[Year]]</f>
        <v>3/8/2022</v>
      </c>
      <c r="L317" t="str">
        <f>TEXT(Table1[[#This Row],[Order Date]],"MMM")</f>
        <v>Aug</v>
      </c>
      <c r="M317">
        <f>YEAR(Table1[[#This Row],[Year]])</f>
        <v>1905</v>
      </c>
    </row>
    <row r="318" spans="1:13" x14ac:dyDescent="0.25">
      <c r="A318" t="s">
        <v>324</v>
      </c>
      <c r="B318">
        <v>9</v>
      </c>
      <c r="C318">
        <v>10</v>
      </c>
      <c r="D318">
        <v>2022</v>
      </c>
      <c r="E318" t="s">
        <v>635</v>
      </c>
      <c r="F318" t="s">
        <v>637</v>
      </c>
      <c r="G318" t="s">
        <v>640</v>
      </c>
      <c r="H318">
        <v>2</v>
      </c>
      <c r="I318">
        <v>1976.68</v>
      </c>
      <c r="J318">
        <v>155.49</v>
      </c>
      <c r="K318" t="str">
        <f>Table1[[#This Row],[Day]]&amp;"/"&amp;Table1[[#This Row],[Month]]&amp;"/"&amp;Table1[[#This Row],[Year]]</f>
        <v>10/9/2022</v>
      </c>
      <c r="L318" t="str">
        <f>TEXT(Table1[[#This Row],[Order Date]],"MMM")</f>
        <v>Sep</v>
      </c>
      <c r="M318">
        <f>YEAR(Table1[[#This Row],[Year]])</f>
        <v>1905</v>
      </c>
    </row>
    <row r="319" spans="1:13" x14ac:dyDescent="0.25">
      <c r="A319" t="s">
        <v>325</v>
      </c>
      <c r="B319">
        <v>6</v>
      </c>
      <c r="C319">
        <v>28</v>
      </c>
      <c r="D319">
        <v>2022</v>
      </c>
      <c r="E319" t="s">
        <v>634</v>
      </c>
      <c r="F319" t="s">
        <v>638</v>
      </c>
      <c r="G319" t="s">
        <v>646</v>
      </c>
      <c r="H319">
        <v>5</v>
      </c>
      <c r="I319">
        <v>5369.45</v>
      </c>
      <c r="J319">
        <v>777.45</v>
      </c>
      <c r="K319" t="str">
        <f>Table1[[#This Row],[Day]]&amp;"/"&amp;Table1[[#This Row],[Month]]&amp;"/"&amp;Table1[[#This Row],[Year]]</f>
        <v>28/6/2022</v>
      </c>
      <c r="L319" t="str">
        <f>TEXT(Table1[[#This Row],[Order Date]],"MMM")</f>
        <v>Jun</v>
      </c>
      <c r="M319">
        <f>YEAR(Table1[[#This Row],[Year]])</f>
        <v>1905</v>
      </c>
    </row>
    <row r="320" spans="1:13" x14ac:dyDescent="0.25">
      <c r="A320" t="s">
        <v>326</v>
      </c>
      <c r="B320">
        <v>2</v>
      </c>
      <c r="C320">
        <v>17</v>
      </c>
      <c r="D320">
        <v>2023</v>
      </c>
      <c r="E320" t="s">
        <v>633</v>
      </c>
      <c r="F320" t="s">
        <v>638</v>
      </c>
      <c r="G320" t="s">
        <v>644</v>
      </c>
      <c r="H320">
        <v>5</v>
      </c>
      <c r="I320">
        <v>2681.95</v>
      </c>
      <c r="J320">
        <v>552.01</v>
      </c>
      <c r="K320" t="str">
        <f>Table1[[#This Row],[Day]]&amp;"/"&amp;Table1[[#This Row],[Month]]&amp;"/"&amp;Table1[[#This Row],[Year]]</f>
        <v>17/2/2023</v>
      </c>
      <c r="L320" t="str">
        <f>TEXT(Table1[[#This Row],[Order Date]],"MMM")</f>
        <v>Feb</v>
      </c>
      <c r="M320">
        <f>YEAR(Table1[[#This Row],[Year]])</f>
        <v>1905</v>
      </c>
    </row>
    <row r="321" spans="1:13" x14ac:dyDescent="0.25">
      <c r="A321" t="s">
        <v>327</v>
      </c>
      <c r="B321">
        <v>2</v>
      </c>
      <c r="C321">
        <v>6</v>
      </c>
      <c r="D321">
        <v>2022</v>
      </c>
      <c r="E321" t="s">
        <v>632</v>
      </c>
      <c r="F321" t="s">
        <v>638</v>
      </c>
      <c r="G321" t="s">
        <v>644</v>
      </c>
      <c r="H321">
        <v>8</v>
      </c>
      <c r="I321">
        <v>9643.6</v>
      </c>
      <c r="J321">
        <v>783.12</v>
      </c>
      <c r="K321" t="str">
        <f>Table1[[#This Row],[Day]]&amp;"/"&amp;Table1[[#This Row],[Month]]&amp;"/"&amp;Table1[[#This Row],[Year]]</f>
        <v>6/2/2022</v>
      </c>
      <c r="L321" t="str">
        <f>TEXT(Table1[[#This Row],[Order Date]],"MMM")</f>
        <v>Feb</v>
      </c>
      <c r="M321">
        <f>YEAR(Table1[[#This Row],[Year]])</f>
        <v>1905</v>
      </c>
    </row>
    <row r="322" spans="1:13" x14ac:dyDescent="0.25">
      <c r="A322" t="s">
        <v>328</v>
      </c>
      <c r="B322">
        <v>3</v>
      </c>
      <c r="C322">
        <v>30</v>
      </c>
      <c r="D322">
        <v>2023</v>
      </c>
      <c r="E322" t="s">
        <v>632</v>
      </c>
      <c r="F322" t="s">
        <v>638</v>
      </c>
      <c r="G322" t="s">
        <v>643</v>
      </c>
      <c r="H322">
        <v>9</v>
      </c>
      <c r="I322">
        <v>8156.34</v>
      </c>
      <c r="J322">
        <v>475.97</v>
      </c>
      <c r="K322" t="str">
        <f>Table1[[#This Row],[Day]]&amp;"/"&amp;Table1[[#This Row],[Month]]&amp;"/"&amp;Table1[[#This Row],[Year]]</f>
        <v>30/3/2023</v>
      </c>
      <c r="L322" t="str">
        <f>TEXT(Table1[[#This Row],[Order Date]],"MMM")</f>
        <v>Mar</v>
      </c>
      <c r="M322">
        <f>YEAR(Table1[[#This Row],[Year]])</f>
        <v>1905</v>
      </c>
    </row>
    <row r="323" spans="1:13" x14ac:dyDescent="0.25">
      <c r="A323" t="s">
        <v>329</v>
      </c>
      <c r="B323">
        <v>6</v>
      </c>
      <c r="C323">
        <v>21</v>
      </c>
      <c r="D323">
        <v>2022</v>
      </c>
      <c r="E323" t="s">
        <v>632</v>
      </c>
      <c r="F323" t="s">
        <v>636</v>
      </c>
      <c r="G323" t="s">
        <v>639</v>
      </c>
      <c r="H323">
        <v>9</v>
      </c>
      <c r="I323">
        <v>3121.2</v>
      </c>
      <c r="J323">
        <v>812.96</v>
      </c>
      <c r="K323" t="str">
        <f>Table1[[#This Row],[Day]]&amp;"/"&amp;Table1[[#This Row],[Month]]&amp;"/"&amp;Table1[[#This Row],[Year]]</f>
        <v>21/6/2022</v>
      </c>
      <c r="L323" t="str">
        <f>TEXT(Table1[[#This Row],[Order Date]],"MMM")</f>
        <v>Jun</v>
      </c>
      <c r="M323">
        <f>YEAR(Table1[[#This Row],[Year]])</f>
        <v>1905</v>
      </c>
    </row>
    <row r="324" spans="1:13" x14ac:dyDescent="0.25">
      <c r="A324" t="s">
        <v>330</v>
      </c>
      <c r="B324">
        <v>3</v>
      </c>
      <c r="C324">
        <v>10</v>
      </c>
      <c r="D324">
        <v>2022</v>
      </c>
      <c r="E324" t="s">
        <v>635</v>
      </c>
      <c r="F324" t="s">
        <v>638</v>
      </c>
      <c r="G324" t="s">
        <v>644</v>
      </c>
      <c r="H324">
        <v>1</v>
      </c>
      <c r="I324">
        <v>70.13</v>
      </c>
      <c r="J324">
        <v>14.86</v>
      </c>
      <c r="K324" t="str">
        <f>Table1[[#This Row],[Day]]&amp;"/"&amp;Table1[[#This Row],[Month]]&amp;"/"&amp;Table1[[#This Row],[Year]]</f>
        <v>10/3/2022</v>
      </c>
      <c r="L324" t="str">
        <f>TEXT(Table1[[#This Row],[Order Date]],"MMM")</f>
        <v>Mar</v>
      </c>
      <c r="M324">
        <f>YEAR(Table1[[#This Row],[Year]])</f>
        <v>1905</v>
      </c>
    </row>
    <row r="325" spans="1:13" x14ac:dyDescent="0.25">
      <c r="A325" t="s">
        <v>331</v>
      </c>
      <c r="B325">
        <v>4</v>
      </c>
      <c r="C325">
        <v>12</v>
      </c>
      <c r="D325">
        <v>2023</v>
      </c>
      <c r="E325" t="s">
        <v>633</v>
      </c>
      <c r="F325" t="s">
        <v>637</v>
      </c>
      <c r="G325" t="s">
        <v>649</v>
      </c>
      <c r="H325">
        <v>5</v>
      </c>
      <c r="I325">
        <v>4650.3</v>
      </c>
      <c r="J325">
        <v>1224.44</v>
      </c>
      <c r="K325" t="str">
        <f>Table1[[#This Row],[Day]]&amp;"/"&amp;Table1[[#This Row],[Month]]&amp;"/"&amp;Table1[[#This Row],[Year]]</f>
        <v>12/4/2023</v>
      </c>
      <c r="L325" t="str">
        <f>TEXT(Table1[[#This Row],[Order Date]],"MMM")</f>
        <v>Apr</v>
      </c>
      <c r="M325">
        <f>YEAR(Table1[[#This Row],[Year]])</f>
        <v>1905</v>
      </c>
    </row>
    <row r="326" spans="1:13" x14ac:dyDescent="0.25">
      <c r="A326" t="s">
        <v>332</v>
      </c>
      <c r="B326">
        <v>11</v>
      </c>
      <c r="C326">
        <v>29</v>
      </c>
      <c r="D326">
        <v>2022</v>
      </c>
      <c r="E326" t="s">
        <v>635</v>
      </c>
      <c r="F326" t="s">
        <v>636</v>
      </c>
      <c r="G326" t="s">
        <v>641</v>
      </c>
      <c r="H326">
        <v>1</v>
      </c>
      <c r="I326">
        <v>586.30999999999995</v>
      </c>
      <c r="J326">
        <v>153.5</v>
      </c>
      <c r="K326" t="str">
        <f>Table1[[#This Row],[Day]]&amp;"/"&amp;Table1[[#This Row],[Month]]&amp;"/"&amp;Table1[[#This Row],[Year]]</f>
        <v>29/11/2022</v>
      </c>
      <c r="L326" t="str">
        <f>TEXT(Table1[[#This Row],[Order Date]],"MMM")</f>
        <v>Nov</v>
      </c>
      <c r="M326">
        <f>YEAR(Table1[[#This Row],[Year]])</f>
        <v>1905</v>
      </c>
    </row>
    <row r="327" spans="1:13" x14ac:dyDescent="0.25">
      <c r="A327" t="s">
        <v>333</v>
      </c>
      <c r="B327">
        <v>12</v>
      </c>
      <c r="C327">
        <v>15</v>
      </c>
      <c r="D327">
        <v>2022</v>
      </c>
      <c r="E327" t="s">
        <v>633</v>
      </c>
      <c r="F327" t="s">
        <v>637</v>
      </c>
      <c r="G327" t="s">
        <v>649</v>
      </c>
      <c r="H327">
        <v>7</v>
      </c>
      <c r="I327">
        <v>10484.74</v>
      </c>
      <c r="J327">
        <v>2614.8200000000002</v>
      </c>
      <c r="K327" t="str">
        <f>Table1[[#This Row],[Day]]&amp;"/"&amp;Table1[[#This Row],[Month]]&amp;"/"&amp;Table1[[#This Row],[Year]]</f>
        <v>15/12/2022</v>
      </c>
      <c r="L327" t="str">
        <f>TEXT(Table1[[#This Row],[Order Date]],"MMM")</f>
        <v>Dec</v>
      </c>
      <c r="M327">
        <f>YEAR(Table1[[#This Row],[Year]])</f>
        <v>1905</v>
      </c>
    </row>
    <row r="328" spans="1:13" x14ac:dyDescent="0.25">
      <c r="A328" t="s">
        <v>334</v>
      </c>
      <c r="B328">
        <v>7</v>
      </c>
      <c r="C328">
        <v>28</v>
      </c>
      <c r="D328">
        <v>2023</v>
      </c>
      <c r="E328" t="s">
        <v>635</v>
      </c>
      <c r="F328" t="s">
        <v>636</v>
      </c>
      <c r="G328" t="s">
        <v>647</v>
      </c>
      <c r="H328">
        <v>1</v>
      </c>
      <c r="I328">
        <v>959.59</v>
      </c>
      <c r="J328">
        <v>114.1</v>
      </c>
      <c r="K328" t="str">
        <f>Table1[[#This Row],[Day]]&amp;"/"&amp;Table1[[#This Row],[Month]]&amp;"/"&amp;Table1[[#This Row],[Year]]</f>
        <v>28/7/2023</v>
      </c>
      <c r="L328" t="str">
        <f>TEXT(Table1[[#This Row],[Order Date]],"MMM")</f>
        <v>Jul</v>
      </c>
      <c r="M328">
        <f>YEAR(Table1[[#This Row],[Year]])</f>
        <v>1905</v>
      </c>
    </row>
    <row r="329" spans="1:13" x14ac:dyDescent="0.25">
      <c r="A329" t="s">
        <v>335</v>
      </c>
      <c r="B329">
        <v>7</v>
      </c>
      <c r="C329">
        <v>7</v>
      </c>
      <c r="D329">
        <v>2022</v>
      </c>
      <c r="E329" t="s">
        <v>632</v>
      </c>
      <c r="F329" t="s">
        <v>637</v>
      </c>
      <c r="G329" t="s">
        <v>640</v>
      </c>
      <c r="H329">
        <v>5</v>
      </c>
      <c r="I329">
        <v>747.5</v>
      </c>
      <c r="J329">
        <v>144.25</v>
      </c>
      <c r="K329" t="str">
        <f>Table1[[#This Row],[Day]]&amp;"/"&amp;Table1[[#This Row],[Month]]&amp;"/"&amp;Table1[[#This Row],[Year]]</f>
        <v>7/7/2022</v>
      </c>
      <c r="L329" t="str">
        <f>TEXT(Table1[[#This Row],[Order Date]],"MMM")</f>
        <v>Jul</v>
      </c>
      <c r="M329">
        <f>YEAR(Table1[[#This Row],[Year]])</f>
        <v>1905</v>
      </c>
    </row>
    <row r="330" spans="1:13" x14ac:dyDescent="0.25">
      <c r="A330" t="s">
        <v>336</v>
      </c>
      <c r="B330">
        <v>1</v>
      </c>
      <c r="C330">
        <v>8</v>
      </c>
      <c r="D330">
        <v>2022</v>
      </c>
      <c r="E330" t="s">
        <v>635</v>
      </c>
      <c r="F330" t="s">
        <v>638</v>
      </c>
      <c r="G330" t="s">
        <v>642</v>
      </c>
      <c r="H330">
        <v>5</v>
      </c>
      <c r="I330">
        <v>3255.45</v>
      </c>
      <c r="J330">
        <v>190.41</v>
      </c>
      <c r="K330" t="str">
        <f>Table1[[#This Row],[Day]]&amp;"/"&amp;Table1[[#This Row],[Month]]&amp;"/"&amp;Table1[[#This Row],[Year]]</f>
        <v>8/1/2022</v>
      </c>
      <c r="L330" t="str">
        <f>TEXT(Table1[[#This Row],[Order Date]],"MMM")</f>
        <v>Jan</v>
      </c>
      <c r="M330">
        <f>YEAR(Table1[[#This Row],[Year]])</f>
        <v>1905</v>
      </c>
    </row>
    <row r="331" spans="1:13" x14ac:dyDescent="0.25">
      <c r="A331" t="s">
        <v>337</v>
      </c>
      <c r="B331">
        <v>2</v>
      </c>
      <c r="C331">
        <v>1</v>
      </c>
      <c r="D331">
        <v>2022</v>
      </c>
      <c r="E331" t="s">
        <v>633</v>
      </c>
      <c r="F331" t="s">
        <v>637</v>
      </c>
      <c r="G331" t="s">
        <v>645</v>
      </c>
      <c r="H331">
        <v>4</v>
      </c>
      <c r="I331">
        <v>5028.28</v>
      </c>
      <c r="J331">
        <v>775.52</v>
      </c>
      <c r="K331" t="str">
        <f>Table1[[#This Row],[Day]]&amp;"/"&amp;Table1[[#This Row],[Month]]&amp;"/"&amp;Table1[[#This Row],[Year]]</f>
        <v>1/2/2022</v>
      </c>
      <c r="L331" t="str">
        <f>TEXT(Table1[[#This Row],[Order Date]],"MMM")</f>
        <v>Feb</v>
      </c>
      <c r="M331">
        <f>YEAR(Table1[[#This Row],[Year]])</f>
        <v>1905</v>
      </c>
    </row>
    <row r="332" spans="1:13" x14ac:dyDescent="0.25">
      <c r="A332" t="s">
        <v>338</v>
      </c>
      <c r="B332">
        <v>12</v>
      </c>
      <c r="C332">
        <v>2</v>
      </c>
      <c r="D332">
        <v>2023</v>
      </c>
      <c r="E332" t="s">
        <v>633</v>
      </c>
      <c r="F332" t="s">
        <v>636</v>
      </c>
      <c r="G332" t="s">
        <v>648</v>
      </c>
      <c r="H332">
        <v>1</v>
      </c>
      <c r="I332">
        <v>111.14</v>
      </c>
      <c r="J332">
        <v>12.41</v>
      </c>
      <c r="K332" t="str">
        <f>Table1[[#This Row],[Day]]&amp;"/"&amp;Table1[[#This Row],[Month]]&amp;"/"&amp;Table1[[#This Row],[Year]]</f>
        <v>2/12/2023</v>
      </c>
      <c r="L332" t="str">
        <f>TEXT(Table1[[#This Row],[Order Date]],"MMM")</f>
        <v>Dec</v>
      </c>
      <c r="M332">
        <f>YEAR(Table1[[#This Row],[Year]])</f>
        <v>1905</v>
      </c>
    </row>
    <row r="333" spans="1:13" x14ac:dyDescent="0.25">
      <c r="A333" t="s">
        <v>339</v>
      </c>
      <c r="B333">
        <v>4</v>
      </c>
      <c r="C333">
        <v>1</v>
      </c>
      <c r="D333">
        <v>2022</v>
      </c>
      <c r="E333" t="s">
        <v>635</v>
      </c>
      <c r="F333" t="s">
        <v>637</v>
      </c>
      <c r="G333" t="s">
        <v>650</v>
      </c>
      <c r="H333">
        <v>4</v>
      </c>
      <c r="I333">
        <v>4533.2</v>
      </c>
      <c r="J333">
        <v>423.49</v>
      </c>
      <c r="K333" t="str">
        <f>Table1[[#This Row],[Day]]&amp;"/"&amp;Table1[[#This Row],[Month]]&amp;"/"&amp;Table1[[#This Row],[Year]]</f>
        <v>1/4/2022</v>
      </c>
      <c r="L333" t="str">
        <f>TEXT(Table1[[#This Row],[Order Date]],"MMM")</f>
        <v>Apr</v>
      </c>
      <c r="M333">
        <f>YEAR(Table1[[#This Row],[Year]])</f>
        <v>1905</v>
      </c>
    </row>
    <row r="334" spans="1:13" x14ac:dyDescent="0.25">
      <c r="A334" t="s">
        <v>340</v>
      </c>
      <c r="B334">
        <v>6</v>
      </c>
      <c r="C334">
        <v>2</v>
      </c>
      <c r="D334">
        <v>2023</v>
      </c>
      <c r="E334" t="s">
        <v>632</v>
      </c>
      <c r="F334" t="s">
        <v>638</v>
      </c>
      <c r="G334" t="s">
        <v>646</v>
      </c>
      <c r="H334">
        <v>4</v>
      </c>
      <c r="I334">
        <v>4204.3999999999996</v>
      </c>
      <c r="J334">
        <v>318.55</v>
      </c>
      <c r="K334" t="str">
        <f>Table1[[#This Row],[Day]]&amp;"/"&amp;Table1[[#This Row],[Month]]&amp;"/"&amp;Table1[[#This Row],[Year]]</f>
        <v>2/6/2023</v>
      </c>
      <c r="L334" t="str">
        <f>TEXT(Table1[[#This Row],[Order Date]],"MMM")</f>
        <v>Jun</v>
      </c>
      <c r="M334">
        <f>YEAR(Table1[[#This Row],[Year]])</f>
        <v>1905</v>
      </c>
    </row>
    <row r="335" spans="1:13" x14ac:dyDescent="0.25">
      <c r="A335" t="s">
        <v>341</v>
      </c>
      <c r="B335">
        <v>8</v>
      </c>
      <c r="C335">
        <v>29</v>
      </c>
      <c r="D335">
        <v>2023</v>
      </c>
      <c r="E335" t="s">
        <v>634</v>
      </c>
      <c r="F335" t="s">
        <v>637</v>
      </c>
      <c r="G335" t="s">
        <v>649</v>
      </c>
      <c r="H335">
        <v>5</v>
      </c>
      <c r="I335">
        <v>6338.1</v>
      </c>
      <c r="J335">
        <v>334.25</v>
      </c>
      <c r="K335" t="str">
        <f>Table1[[#This Row],[Day]]&amp;"/"&amp;Table1[[#This Row],[Month]]&amp;"/"&amp;Table1[[#This Row],[Year]]</f>
        <v>29/8/2023</v>
      </c>
      <c r="L335" t="str">
        <f>TEXT(Table1[[#This Row],[Order Date]],"MMM")</f>
        <v>Aug</v>
      </c>
      <c r="M335">
        <f>YEAR(Table1[[#This Row],[Year]])</f>
        <v>1905</v>
      </c>
    </row>
    <row r="336" spans="1:13" x14ac:dyDescent="0.25">
      <c r="A336" t="s">
        <v>342</v>
      </c>
      <c r="B336">
        <v>12</v>
      </c>
      <c r="C336">
        <v>14</v>
      </c>
      <c r="D336">
        <v>2023</v>
      </c>
      <c r="E336" t="s">
        <v>635</v>
      </c>
      <c r="F336" t="s">
        <v>636</v>
      </c>
      <c r="G336" t="s">
        <v>641</v>
      </c>
      <c r="H336">
        <v>2</v>
      </c>
      <c r="I336">
        <v>140.84</v>
      </c>
      <c r="J336">
        <v>28.9</v>
      </c>
      <c r="K336" t="str">
        <f>Table1[[#This Row],[Day]]&amp;"/"&amp;Table1[[#This Row],[Month]]&amp;"/"&amp;Table1[[#This Row],[Year]]</f>
        <v>14/12/2023</v>
      </c>
      <c r="L336" t="str">
        <f>TEXT(Table1[[#This Row],[Order Date]],"MMM")</f>
        <v>Dec</v>
      </c>
      <c r="M336">
        <f>YEAR(Table1[[#This Row],[Year]])</f>
        <v>1905</v>
      </c>
    </row>
    <row r="337" spans="1:13" x14ac:dyDescent="0.25">
      <c r="A337" t="s">
        <v>343</v>
      </c>
      <c r="B337">
        <v>8</v>
      </c>
      <c r="C337">
        <v>12</v>
      </c>
      <c r="D337">
        <v>2023</v>
      </c>
      <c r="E337" t="s">
        <v>632</v>
      </c>
      <c r="F337" t="s">
        <v>637</v>
      </c>
      <c r="G337" t="s">
        <v>645</v>
      </c>
      <c r="H337">
        <v>3</v>
      </c>
      <c r="I337">
        <v>3507.93</v>
      </c>
      <c r="J337">
        <v>990.52</v>
      </c>
      <c r="K337" t="str">
        <f>Table1[[#This Row],[Day]]&amp;"/"&amp;Table1[[#This Row],[Month]]&amp;"/"&amp;Table1[[#This Row],[Year]]</f>
        <v>12/8/2023</v>
      </c>
      <c r="L337" t="str">
        <f>TEXT(Table1[[#This Row],[Order Date]],"MMM")</f>
        <v>Aug</v>
      </c>
      <c r="M337">
        <f>YEAR(Table1[[#This Row],[Year]])</f>
        <v>1905</v>
      </c>
    </row>
    <row r="338" spans="1:13" x14ac:dyDescent="0.25">
      <c r="A338" t="s">
        <v>344</v>
      </c>
      <c r="B338">
        <v>8</v>
      </c>
      <c r="C338">
        <v>3</v>
      </c>
      <c r="D338">
        <v>2023</v>
      </c>
      <c r="E338" t="s">
        <v>635</v>
      </c>
      <c r="F338" t="s">
        <v>637</v>
      </c>
      <c r="G338" t="s">
        <v>650</v>
      </c>
      <c r="H338">
        <v>6</v>
      </c>
      <c r="I338">
        <v>3058.56</v>
      </c>
      <c r="J338">
        <v>489.57</v>
      </c>
      <c r="K338" t="str">
        <f>Table1[[#This Row],[Day]]&amp;"/"&amp;Table1[[#This Row],[Month]]&amp;"/"&amp;Table1[[#This Row],[Year]]</f>
        <v>3/8/2023</v>
      </c>
      <c r="L338" t="str">
        <f>TEXT(Table1[[#This Row],[Order Date]],"MMM")</f>
        <v>Aug</v>
      </c>
      <c r="M338">
        <f>YEAR(Table1[[#This Row],[Year]])</f>
        <v>1905</v>
      </c>
    </row>
    <row r="339" spans="1:13" x14ac:dyDescent="0.25">
      <c r="A339" t="s">
        <v>345</v>
      </c>
      <c r="B339">
        <v>12</v>
      </c>
      <c r="C339">
        <v>7</v>
      </c>
      <c r="D339">
        <v>2022</v>
      </c>
      <c r="E339" t="s">
        <v>635</v>
      </c>
      <c r="F339" t="s">
        <v>637</v>
      </c>
      <c r="G339" t="s">
        <v>649</v>
      </c>
      <c r="H339">
        <v>9</v>
      </c>
      <c r="I339">
        <v>3445.56</v>
      </c>
      <c r="J339">
        <v>1006.93</v>
      </c>
      <c r="K339" t="str">
        <f>Table1[[#This Row],[Day]]&amp;"/"&amp;Table1[[#This Row],[Month]]&amp;"/"&amp;Table1[[#This Row],[Year]]</f>
        <v>7/12/2022</v>
      </c>
      <c r="L339" t="str">
        <f>TEXT(Table1[[#This Row],[Order Date]],"MMM")</f>
        <v>Dec</v>
      </c>
      <c r="M339">
        <f>YEAR(Table1[[#This Row],[Year]])</f>
        <v>1905</v>
      </c>
    </row>
    <row r="340" spans="1:13" x14ac:dyDescent="0.25">
      <c r="A340" t="s">
        <v>346</v>
      </c>
      <c r="B340">
        <v>9</v>
      </c>
      <c r="C340">
        <v>12</v>
      </c>
      <c r="D340">
        <v>2023</v>
      </c>
      <c r="E340" t="s">
        <v>634</v>
      </c>
      <c r="F340" t="s">
        <v>638</v>
      </c>
      <c r="G340" t="s">
        <v>643</v>
      </c>
      <c r="H340">
        <v>7</v>
      </c>
      <c r="I340">
        <v>261.66000000000003</v>
      </c>
      <c r="J340">
        <v>44.49</v>
      </c>
      <c r="K340" t="str">
        <f>Table1[[#This Row],[Day]]&amp;"/"&amp;Table1[[#This Row],[Month]]&amp;"/"&amp;Table1[[#This Row],[Year]]</f>
        <v>12/9/2023</v>
      </c>
      <c r="L340" t="str">
        <f>TEXT(Table1[[#This Row],[Order Date]],"MMM")</f>
        <v>Sep</v>
      </c>
      <c r="M340">
        <f>YEAR(Table1[[#This Row],[Year]])</f>
        <v>1905</v>
      </c>
    </row>
    <row r="341" spans="1:13" x14ac:dyDescent="0.25">
      <c r="A341" t="s">
        <v>347</v>
      </c>
      <c r="B341">
        <v>7</v>
      </c>
      <c r="C341">
        <v>10</v>
      </c>
      <c r="D341">
        <v>2023</v>
      </c>
      <c r="E341" t="s">
        <v>632</v>
      </c>
      <c r="F341" t="s">
        <v>638</v>
      </c>
      <c r="G341" t="s">
        <v>646</v>
      </c>
      <c r="H341">
        <v>9</v>
      </c>
      <c r="I341">
        <v>6148.71</v>
      </c>
      <c r="J341">
        <v>1454.65</v>
      </c>
      <c r="K341" t="str">
        <f>Table1[[#This Row],[Day]]&amp;"/"&amp;Table1[[#This Row],[Month]]&amp;"/"&amp;Table1[[#This Row],[Year]]</f>
        <v>10/7/2023</v>
      </c>
      <c r="L341" t="str">
        <f>TEXT(Table1[[#This Row],[Order Date]],"MMM")</f>
        <v>Jul</v>
      </c>
      <c r="M341">
        <f>YEAR(Table1[[#This Row],[Year]])</f>
        <v>1905</v>
      </c>
    </row>
    <row r="342" spans="1:13" x14ac:dyDescent="0.25">
      <c r="A342" t="s">
        <v>348</v>
      </c>
      <c r="B342">
        <v>1</v>
      </c>
      <c r="C342">
        <v>23</v>
      </c>
      <c r="D342">
        <v>2022</v>
      </c>
      <c r="E342" t="s">
        <v>634</v>
      </c>
      <c r="F342" t="s">
        <v>638</v>
      </c>
      <c r="G342" t="s">
        <v>642</v>
      </c>
      <c r="H342">
        <v>7</v>
      </c>
      <c r="I342">
        <v>8850.73</v>
      </c>
      <c r="J342">
        <v>1637.42</v>
      </c>
      <c r="K342" t="str">
        <f>Table1[[#This Row],[Day]]&amp;"/"&amp;Table1[[#This Row],[Month]]&amp;"/"&amp;Table1[[#This Row],[Year]]</f>
        <v>23/1/2022</v>
      </c>
      <c r="L342" t="str">
        <f>TEXT(Table1[[#This Row],[Order Date]],"MMM")</f>
        <v>Jan</v>
      </c>
      <c r="M342">
        <f>YEAR(Table1[[#This Row],[Year]])</f>
        <v>1905</v>
      </c>
    </row>
    <row r="343" spans="1:13" x14ac:dyDescent="0.25">
      <c r="A343" t="s">
        <v>349</v>
      </c>
      <c r="B343">
        <v>8</v>
      </c>
      <c r="C343">
        <v>30</v>
      </c>
      <c r="D343">
        <v>2023</v>
      </c>
      <c r="E343" t="s">
        <v>632</v>
      </c>
      <c r="F343" t="s">
        <v>638</v>
      </c>
      <c r="G343" t="s">
        <v>643</v>
      </c>
      <c r="H343">
        <v>4</v>
      </c>
      <c r="I343">
        <v>5232.68</v>
      </c>
      <c r="J343">
        <v>717.43</v>
      </c>
      <c r="K343" t="str">
        <f>Table1[[#This Row],[Day]]&amp;"/"&amp;Table1[[#This Row],[Month]]&amp;"/"&amp;Table1[[#This Row],[Year]]</f>
        <v>30/8/2023</v>
      </c>
      <c r="L343" t="str">
        <f>TEXT(Table1[[#This Row],[Order Date]],"MMM")</f>
        <v>Aug</v>
      </c>
      <c r="M343">
        <f>YEAR(Table1[[#This Row],[Year]])</f>
        <v>1905</v>
      </c>
    </row>
    <row r="344" spans="1:13" x14ac:dyDescent="0.25">
      <c r="A344" t="s">
        <v>350</v>
      </c>
      <c r="B344">
        <v>4</v>
      </c>
      <c r="C344">
        <v>25</v>
      </c>
      <c r="D344">
        <v>2022</v>
      </c>
      <c r="E344" t="s">
        <v>632</v>
      </c>
      <c r="F344" t="s">
        <v>638</v>
      </c>
      <c r="G344" t="s">
        <v>642</v>
      </c>
      <c r="H344">
        <v>6</v>
      </c>
      <c r="I344">
        <v>3474.3</v>
      </c>
      <c r="J344">
        <v>583.66</v>
      </c>
      <c r="K344" t="str">
        <f>Table1[[#This Row],[Day]]&amp;"/"&amp;Table1[[#This Row],[Month]]&amp;"/"&amp;Table1[[#This Row],[Year]]</f>
        <v>25/4/2022</v>
      </c>
      <c r="L344" t="str">
        <f>TEXT(Table1[[#This Row],[Order Date]],"MMM")</f>
        <v>Apr</v>
      </c>
      <c r="M344">
        <f>YEAR(Table1[[#This Row],[Year]])</f>
        <v>1905</v>
      </c>
    </row>
    <row r="345" spans="1:13" x14ac:dyDescent="0.25">
      <c r="A345" t="s">
        <v>351</v>
      </c>
      <c r="B345">
        <v>11</v>
      </c>
      <c r="C345">
        <v>24</v>
      </c>
      <c r="D345">
        <v>2023</v>
      </c>
      <c r="E345" t="s">
        <v>633</v>
      </c>
      <c r="F345" t="s">
        <v>638</v>
      </c>
      <c r="G345" t="s">
        <v>644</v>
      </c>
      <c r="H345">
        <v>4</v>
      </c>
      <c r="I345">
        <v>2491.84</v>
      </c>
      <c r="J345">
        <v>136.58000000000001</v>
      </c>
      <c r="K345" t="str">
        <f>Table1[[#This Row],[Day]]&amp;"/"&amp;Table1[[#This Row],[Month]]&amp;"/"&amp;Table1[[#This Row],[Year]]</f>
        <v>24/11/2023</v>
      </c>
      <c r="L345" t="str">
        <f>TEXT(Table1[[#This Row],[Order Date]],"MMM")</f>
        <v>Nov</v>
      </c>
      <c r="M345">
        <f>YEAR(Table1[[#This Row],[Year]])</f>
        <v>1905</v>
      </c>
    </row>
    <row r="346" spans="1:13" x14ac:dyDescent="0.25">
      <c r="A346" t="s">
        <v>352</v>
      </c>
      <c r="B346">
        <v>11</v>
      </c>
      <c r="C346">
        <v>21</v>
      </c>
      <c r="D346">
        <v>2022</v>
      </c>
      <c r="E346" t="s">
        <v>632</v>
      </c>
      <c r="F346" t="s">
        <v>636</v>
      </c>
      <c r="G346" t="s">
        <v>639</v>
      </c>
      <c r="H346">
        <v>7</v>
      </c>
      <c r="I346">
        <v>8562.4699999999993</v>
      </c>
      <c r="J346">
        <v>1843.55</v>
      </c>
      <c r="K346" t="str">
        <f>Table1[[#This Row],[Day]]&amp;"/"&amp;Table1[[#This Row],[Month]]&amp;"/"&amp;Table1[[#This Row],[Year]]</f>
        <v>21/11/2022</v>
      </c>
      <c r="L346" t="str">
        <f>TEXT(Table1[[#This Row],[Order Date]],"MMM")</f>
        <v>Nov</v>
      </c>
      <c r="M346">
        <f>YEAR(Table1[[#This Row],[Year]])</f>
        <v>1905</v>
      </c>
    </row>
    <row r="347" spans="1:13" x14ac:dyDescent="0.25">
      <c r="A347" t="s">
        <v>353</v>
      </c>
      <c r="B347">
        <v>8</v>
      </c>
      <c r="C347">
        <v>23</v>
      </c>
      <c r="D347">
        <v>2023</v>
      </c>
      <c r="E347" t="s">
        <v>632</v>
      </c>
      <c r="F347" t="s">
        <v>638</v>
      </c>
      <c r="G347" t="s">
        <v>644</v>
      </c>
      <c r="H347">
        <v>8</v>
      </c>
      <c r="I347">
        <v>1309.5999999999999</v>
      </c>
      <c r="J347">
        <v>249.68</v>
      </c>
      <c r="K347" t="str">
        <f>Table1[[#This Row],[Day]]&amp;"/"&amp;Table1[[#This Row],[Month]]&amp;"/"&amp;Table1[[#This Row],[Year]]</f>
        <v>23/8/2023</v>
      </c>
      <c r="L347" t="str">
        <f>TEXT(Table1[[#This Row],[Order Date]],"MMM")</f>
        <v>Aug</v>
      </c>
      <c r="M347">
        <f>YEAR(Table1[[#This Row],[Year]])</f>
        <v>1905</v>
      </c>
    </row>
    <row r="348" spans="1:13" x14ac:dyDescent="0.25">
      <c r="A348" t="s">
        <v>354</v>
      </c>
      <c r="B348">
        <v>8</v>
      </c>
      <c r="C348">
        <v>18</v>
      </c>
      <c r="D348">
        <v>2023</v>
      </c>
      <c r="E348" t="s">
        <v>633</v>
      </c>
      <c r="F348" t="s">
        <v>638</v>
      </c>
      <c r="G348" t="s">
        <v>644</v>
      </c>
      <c r="H348">
        <v>5</v>
      </c>
      <c r="I348">
        <v>2782.7</v>
      </c>
      <c r="J348">
        <v>189.84</v>
      </c>
      <c r="K348" t="str">
        <f>Table1[[#This Row],[Day]]&amp;"/"&amp;Table1[[#This Row],[Month]]&amp;"/"&amp;Table1[[#This Row],[Year]]</f>
        <v>18/8/2023</v>
      </c>
      <c r="L348" t="str">
        <f>TEXT(Table1[[#This Row],[Order Date]],"MMM")</f>
        <v>Aug</v>
      </c>
      <c r="M348">
        <f>YEAR(Table1[[#This Row],[Year]])</f>
        <v>1905</v>
      </c>
    </row>
    <row r="349" spans="1:13" x14ac:dyDescent="0.25">
      <c r="A349" t="s">
        <v>355</v>
      </c>
      <c r="B349">
        <v>6</v>
      </c>
      <c r="C349">
        <v>11</v>
      </c>
      <c r="D349">
        <v>2022</v>
      </c>
      <c r="E349" t="s">
        <v>634</v>
      </c>
      <c r="F349" t="s">
        <v>637</v>
      </c>
      <c r="G349" t="s">
        <v>650</v>
      </c>
      <c r="H349">
        <v>6</v>
      </c>
      <c r="I349">
        <v>2566.14</v>
      </c>
      <c r="J349">
        <v>751.56</v>
      </c>
      <c r="K349" t="str">
        <f>Table1[[#This Row],[Day]]&amp;"/"&amp;Table1[[#This Row],[Month]]&amp;"/"&amp;Table1[[#This Row],[Year]]</f>
        <v>11/6/2022</v>
      </c>
      <c r="L349" t="str">
        <f>TEXT(Table1[[#This Row],[Order Date]],"MMM")</f>
        <v>Jun</v>
      </c>
      <c r="M349">
        <f>YEAR(Table1[[#This Row],[Year]])</f>
        <v>1905</v>
      </c>
    </row>
    <row r="350" spans="1:13" x14ac:dyDescent="0.25">
      <c r="A350" t="s">
        <v>356</v>
      </c>
      <c r="B350">
        <v>9</v>
      </c>
      <c r="C350">
        <v>21</v>
      </c>
      <c r="D350">
        <v>2023</v>
      </c>
      <c r="E350" t="s">
        <v>635</v>
      </c>
      <c r="F350" t="s">
        <v>638</v>
      </c>
      <c r="G350" t="s">
        <v>642</v>
      </c>
      <c r="H350">
        <v>3</v>
      </c>
      <c r="I350">
        <v>424.68</v>
      </c>
      <c r="J350">
        <v>101.35</v>
      </c>
      <c r="K350" t="str">
        <f>Table1[[#This Row],[Day]]&amp;"/"&amp;Table1[[#This Row],[Month]]&amp;"/"&amp;Table1[[#This Row],[Year]]</f>
        <v>21/9/2023</v>
      </c>
      <c r="L350" t="str">
        <f>TEXT(Table1[[#This Row],[Order Date]],"MMM")</f>
        <v>Sep</v>
      </c>
      <c r="M350">
        <f>YEAR(Table1[[#This Row],[Year]])</f>
        <v>1905</v>
      </c>
    </row>
    <row r="351" spans="1:13" x14ac:dyDescent="0.25">
      <c r="A351" t="s">
        <v>357</v>
      </c>
      <c r="B351">
        <v>3</v>
      </c>
      <c r="C351">
        <v>23</v>
      </c>
      <c r="D351">
        <v>2023</v>
      </c>
      <c r="E351" t="s">
        <v>634</v>
      </c>
      <c r="F351" t="s">
        <v>638</v>
      </c>
      <c r="G351" t="s">
        <v>642</v>
      </c>
      <c r="H351">
        <v>8</v>
      </c>
      <c r="I351">
        <v>219.76</v>
      </c>
      <c r="J351">
        <v>34.159999999999997</v>
      </c>
      <c r="K351" t="str">
        <f>Table1[[#This Row],[Day]]&amp;"/"&amp;Table1[[#This Row],[Month]]&amp;"/"&amp;Table1[[#This Row],[Year]]</f>
        <v>23/3/2023</v>
      </c>
      <c r="L351" t="str">
        <f>TEXT(Table1[[#This Row],[Order Date]],"MMM")</f>
        <v>Mar</v>
      </c>
      <c r="M351">
        <f>YEAR(Table1[[#This Row],[Year]])</f>
        <v>1905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D05D-A18E-4701-AD05-B7D66D4FAE53}">
  <dimension ref="A1:M58"/>
  <sheetViews>
    <sheetView tabSelected="1" topLeftCell="A19" workbookViewId="0">
      <selection activeCell="M43" sqref="M43"/>
    </sheetView>
  </sheetViews>
  <sheetFormatPr defaultRowHeight="15" x14ac:dyDescent="0.25"/>
  <cols>
    <col min="1" max="1" width="14.5703125" bestFit="1" customWidth="1"/>
    <col min="2" max="2" width="12.5703125" bestFit="1" customWidth="1"/>
    <col min="3" max="3" width="12.140625" bestFit="1" customWidth="1"/>
  </cols>
  <sheetData>
    <row r="1" spans="1:2" ht="21" x14ac:dyDescent="0.35">
      <c r="A1" s="5" t="s">
        <v>656</v>
      </c>
    </row>
    <row r="3" spans="1:2" x14ac:dyDescent="0.25">
      <c r="A3" s="2" t="s">
        <v>651</v>
      </c>
      <c r="B3" t="s">
        <v>653</v>
      </c>
    </row>
    <row r="4" spans="1:2" x14ac:dyDescent="0.25">
      <c r="A4" s="3" t="s">
        <v>638</v>
      </c>
      <c r="B4" s="4">
        <v>92464.620000000024</v>
      </c>
    </row>
    <row r="5" spans="1:2" x14ac:dyDescent="0.25">
      <c r="A5" s="3" t="s">
        <v>636</v>
      </c>
      <c r="B5" s="4">
        <v>75124.469999999987</v>
      </c>
    </row>
    <row r="6" spans="1:2" x14ac:dyDescent="0.25">
      <c r="A6" s="3" t="s">
        <v>637</v>
      </c>
      <c r="B6" s="4">
        <v>68025.36</v>
      </c>
    </row>
    <row r="7" spans="1:2" x14ac:dyDescent="0.25">
      <c r="A7" s="3" t="s">
        <v>652</v>
      </c>
      <c r="B7" s="4">
        <v>235614.45</v>
      </c>
    </row>
    <row r="14" spans="1:2" ht="21" x14ac:dyDescent="0.35">
      <c r="A14" s="5" t="s">
        <v>655</v>
      </c>
    </row>
    <row r="16" spans="1:2" x14ac:dyDescent="0.25">
      <c r="A16" s="2" t="s">
        <v>651</v>
      </c>
      <c r="B16" t="s">
        <v>654</v>
      </c>
    </row>
    <row r="17" spans="1:2" x14ac:dyDescent="0.25">
      <c r="A17" s="3" t="s">
        <v>643</v>
      </c>
      <c r="B17" s="4">
        <v>173719.15000000002</v>
      </c>
    </row>
    <row r="18" spans="1:2" x14ac:dyDescent="0.25">
      <c r="A18" s="3" t="s">
        <v>646</v>
      </c>
      <c r="B18" s="4">
        <v>157346.47000000003</v>
      </c>
    </row>
    <row r="19" spans="1:2" x14ac:dyDescent="0.25">
      <c r="A19" s="3" t="s">
        <v>640</v>
      </c>
      <c r="B19" s="4">
        <v>152524.71999999997</v>
      </c>
    </row>
    <row r="20" spans="1:2" x14ac:dyDescent="0.25">
      <c r="A20" s="3" t="s">
        <v>639</v>
      </c>
      <c r="B20" s="4">
        <v>122511.48000000001</v>
      </c>
    </row>
    <row r="21" spans="1:2" x14ac:dyDescent="0.25">
      <c r="A21" s="3" t="s">
        <v>644</v>
      </c>
      <c r="B21" s="4">
        <v>112874.70999999999</v>
      </c>
    </row>
    <row r="22" spans="1:2" x14ac:dyDescent="0.25">
      <c r="A22" s="3" t="s">
        <v>652</v>
      </c>
      <c r="B22" s="4">
        <v>718976.53</v>
      </c>
    </row>
    <row r="28" spans="1:2" ht="21" x14ac:dyDescent="0.35">
      <c r="A28" s="5" t="s">
        <v>674</v>
      </c>
    </row>
    <row r="31" spans="1:2" x14ac:dyDescent="0.25">
      <c r="A31" s="2" t="s">
        <v>651</v>
      </c>
      <c r="B31" t="s">
        <v>654</v>
      </c>
    </row>
    <row r="32" spans="1:2" x14ac:dyDescent="0.25">
      <c r="A32" s="3" t="s">
        <v>662</v>
      </c>
      <c r="B32" s="4">
        <v>110656.98000000001</v>
      </c>
    </row>
    <row r="33" spans="1:13" x14ac:dyDescent="0.25">
      <c r="A33" s="3" t="s">
        <v>663</v>
      </c>
      <c r="B33" s="4">
        <v>100378.15000000001</v>
      </c>
    </row>
    <row r="34" spans="1:13" x14ac:dyDescent="0.25">
      <c r="A34" s="3" t="s">
        <v>664</v>
      </c>
      <c r="B34" s="4">
        <v>53631.259999999995</v>
      </c>
    </row>
    <row r="35" spans="1:13" x14ac:dyDescent="0.25">
      <c r="A35" s="3" t="s">
        <v>665</v>
      </c>
      <c r="B35" s="4">
        <v>144930.22999999998</v>
      </c>
    </row>
    <row r="36" spans="1:13" x14ac:dyDescent="0.25">
      <c r="A36" s="3" t="s">
        <v>666</v>
      </c>
      <c r="B36" s="4">
        <v>83649.260000000009</v>
      </c>
    </row>
    <row r="37" spans="1:13" x14ac:dyDescent="0.25">
      <c r="A37" s="3" t="s">
        <v>667</v>
      </c>
      <c r="B37" s="4">
        <v>112269.00999999998</v>
      </c>
    </row>
    <row r="38" spans="1:13" x14ac:dyDescent="0.25">
      <c r="A38" s="3" t="s">
        <v>668</v>
      </c>
      <c r="B38" s="4">
        <v>106473.92999999998</v>
      </c>
    </row>
    <row r="39" spans="1:13" x14ac:dyDescent="0.25">
      <c r="A39" s="3" t="s">
        <v>669</v>
      </c>
      <c r="B39" s="4">
        <v>139560.35999999999</v>
      </c>
    </row>
    <row r="40" spans="1:13" x14ac:dyDescent="0.25">
      <c r="A40" s="3" t="s">
        <v>670</v>
      </c>
      <c r="B40" s="4">
        <v>121406.15</v>
      </c>
    </row>
    <row r="41" spans="1:13" x14ac:dyDescent="0.25">
      <c r="A41" s="3" t="s">
        <v>671</v>
      </c>
      <c r="B41" s="4">
        <v>81401.549999999988</v>
      </c>
    </row>
    <row r="42" spans="1:13" x14ac:dyDescent="0.25">
      <c r="A42" s="3" t="s">
        <v>672</v>
      </c>
      <c r="B42" s="4">
        <v>125705.92</v>
      </c>
    </row>
    <row r="43" spans="1:13" x14ac:dyDescent="0.25">
      <c r="A43" s="3" t="s">
        <v>673</v>
      </c>
      <c r="B43" s="4">
        <v>153009.50999999998</v>
      </c>
      <c r="M43" t="s">
        <v>675</v>
      </c>
    </row>
    <row r="44" spans="1:13" x14ac:dyDescent="0.25">
      <c r="A44" s="3" t="s">
        <v>652</v>
      </c>
      <c r="B44" s="4">
        <v>1333072.3099999998</v>
      </c>
    </row>
    <row r="58" spans="2:2" x14ac:dyDescent="0.25">
      <c r="B58" t="s">
        <v>675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working sheep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Dual Ahou</dc:creator>
  <cp:lastModifiedBy>Dual ahou Deng</cp:lastModifiedBy>
  <dcterms:created xsi:type="dcterms:W3CDTF">2025-10-31T06:27:30Z</dcterms:created>
  <dcterms:modified xsi:type="dcterms:W3CDTF">2025-11-03T08:44:22Z</dcterms:modified>
</cp:coreProperties>
</file>